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5" windowWidth="22995" windowHeight="10035" tabRatio="141"/>
  </bookViews>
  <sheets>
    <sheet name="Mock Data" sheetId="4" r:id="rId1"/>
  </sheets>
  <functionGroups builtInGroupCount="17"/>
  <definedNames>
    <definedName name="_xlnm._FilterDatabase" localSheetId="0" hidden="1">'Mock Data'!$A$1:$O$116</definedName>
  </definedNames>
  <calcPr calcId="145621"/>
</workbook>
</file>

<file path=xl/calcChain.xml><?xml version="1.0" encoding="utf-8"?>
<calcChain xmlns="http://schemas.openxmlformats.org/spreadsheetml/2006/main">
  <c r="O3" i="4" l="1"/>
  <c r="O4" i="4"/>
  <c r="P4" i="4" s="1"/>
  <c r="O5" i="4"/>
  <c r="P5" i="4" s="1"/>
  <c r="O6" i="4"/>
  <c r="O7" i="4"/>
  <c r="O8" i="4"/>
  <c r="P8" i="4" s="1"/>
  <c r="O9" i="4"/>
  <c r="P9" i="4" s="1"/>
  <c r="O10" i="4"/>
  <c r="O11" i="4"/>
  <c r="O12" i="4"/>
  <c r="P12" i="4" s="1"/>
  <c r="O13" i="4"/>
  <c r="P13" i="4" s="1"/>
  <c r="O14" i="4"/>
  <c r="O15" i="4"/>
  <c r="O16" i="4"/>
  <c r="P16" i="4" s="1"/>
  <c r="O17" i="4"/>
  <c r="P17" i="4" s="1"/>
  <c r="O18" i="4"/>
  <c r="O19" i="4"/>
  <c r="O20" i="4"/>
  <c r="P20" i="4" s="1"/>
  <c r="O21" i="4"/>
  <c r="P21" i="4" s="1"/>
  <c r="O22" i="4"/>
  <c r="O23" i="4"/>
  <c r="O24" i="4"/>
  <c r="P24" i="4" s="1"/>
  <c r="O25" i="4"/>
  <c r="P25" i="4" s="1"/>
  <c r="O26" i="4"/>
  <c r="O27" i="4"/>
  <c r="O28" i="4"/>
  <c r="P28" i="4" s="1"/>
  <c r="O29" i="4"/>
  <c r="P29" i="4" s="1"/>
  <c r="O30" i="4"/>
  <c r="O31" i="4"/>
  <c r="O32" i="4"/>
  <c r="P32" i="4" s="1"/>
  <c r="O33" i="4"/>
  <c r="P33" i="4" s="1"/>
  <c r="O34" i="4"/>
  <c r="O35" i="4"/>
  <c r="O36" i="4"/>
  <c r="P36" i="4" s="1"/>
  <c r="O37" i="4"/>
  <c r="P37" i="4" s="1"/>
  <c r="O38" i="4"/>
  <c r="O39" i="4"/>
  <c r="O40" i="4"/>
  <c r="P40" i="4" s="1"/>
  <c r="O41" i="4"/>
  <c r="P41" i="4" s="1"/>
  <c r="O42" i="4"/>
  <c r="O43" i="4"/>
  <c r="O44" i="4"/>
  <c r="P44" i="4" s="1"/>
  <c r="O45" i="4"/>
  <c r="P45" i="4" s="1"/>
  <c r="O46" i="4"/>
  <c r="O47" i="4"/>
  <c r="O48" i="4"/>
  <c r="P48" i="4" s="1"/>
  <c r="O49" i="4"/>
  <c r="P49" i="4" s="1"/>
  <c r="O50" i="4"/>
  <c r="O51" i="4"/>
  <c r="O52" i="4"/>
  <c r="P52" i="4" s="1"/>
  <c r="O53" i="4"/>
  <c r="P53" i="4" s="1"/>
  <c r="O54" i="4"/>
  <c r="O55" i="4"/>
  <c r="O56" i="4"/>
  <c r="P56" i="4" s="1"/>
  <c r="O57" i="4"/>
  <c r="P57" i="4" s="1"/>
  <c r="O58" i="4"/>
  <c r="O59" i="4"/>
  <c r="O60" i="4"/>
  <c r="P60" i="4" s="1"/>
  <c r="O61" i="4"/>
  <c r="P61" i="4" s="1"/>
  <c r="O62" i="4"/>
  <c r="O63" i="4"/>
  <c r="O64" i="4"/>
  <c r="P64" i="4" s="1"/>
  <c r="O65" i="4"/>
  <c r="P65" i="4" s="1"/>
  <c r="O66" i="4"/>
  <c r="O67" i="4"/>
  <c r="O68" i="4"/>
  <c r="P68" i="4" s="1"/>
  <c r="O69" i="4"/>
  <c r="P69" i="4" s="1"/>
  <c r="O70" i="4"/>
  <c r="O71" i="4"/>
  <c r="O72" i="4"/>
  <c r="P72" i="4" s="1"/>
  <c r="O73" i="4"/>
  <c r="P73" i="4" s="1"/>
  <c r="O74" i="4"/>
  <c r="O75" i="4"/>
  <c r="O76" i="4"/>
  <c r="P76" i="4" s="1"/>
  <c r="O77" i="4"/>
  <c r="P77" i="4" s="1"/>
  <c r="O78" i="4"/>
  <c r="O79" i="4"/>
  <c r="O80" i="4"/>
  <c r="P80" i="4" s="1"/>
  <c r="O81" i="4"/>
  <c r="P81" i="4" s="1"/>
  <c r="O82" i="4"/>
  <c r="O83" i="4"/>
  <c r="O84" i="4"/>
  <c r="P84" i="4" s="1"/>
  <c r="O85" i="4"/>
  <c r="P85" i="4" s="1"/>
  <c r="O86" i="4"/>
  <c r="O87" i="4"/>
  <c r="O88" i="4"/>
  <c r="P88" i="4" s="1"/>
  <c r="O89" i="4"/>
  <c r="P89" i="4" s="1"/>
  <c r="O90" i="4"/>
  <c r="O91" i="4"/>
  <c r="O92" i="4"/>
  <c r="P92" i="4" s="1"/>
  <c r="O93" i="4"/>
  <c r="P93" i="4" s="1"/>
  <c r="O94" i="4"/>
  <c r="O95" i="4"/>
  <c r="O96" i="4"/>
  <c r="P96" i="4" s="1"/>
  <c r="O97" i="4"/>
  <c r="P97" i="4" s="1"/>
  <c r="O98" i="4"/>
  <c r="O99" i="4"/>
  <c r="O100" i="4"/>
  <c r="P100" i="4" s="1"/>
  <c r="O101" i="4"/>
  <c r="P101" i="4" s="1"/>
  <c r="O102" i="4"/>
  <c r="O103" i="4"/>
  <c r="O104" i="4"/>
  <c r="P104" i="4" s="1"/>
  <c r="O105" i="4"/>
  <c r="P105" i="4" s="1"/>
  <c r="O106" i="4"/>
  <c r="O107" i="4"/>
  <c r="O108" i="4"/>
  <c r="P108" i="4" s="1"/>
  <c r="O109" i="4"/>
  <c r="P109" i="4" s="1"/>
  <c r="O110" i="4"/>
  <c r="O111" i="4"/>
  <c r="O112" i="4"/>
  <c r="P112" i="4" s="1"/>
  <c r="O113" i="4"/>
  <c r="P113" i="4" s="1"/>
  <c r="O114" i="4"/>
  <c r="O115" i="4"/>
  <c r="O116" i="4"/>
  <c r="P116" i="4" s="1"/>
  <c r="O2" i="4"/>
  <c r="P3" i="4"/>
  <c r="P6" i="4"/>
  <c r="P7" i="4"/>
  <c r="P10" i="4"/>
  <c r="P11" i="4"/>
  <c r="P14" i="4"/>
  <c r="P15" i="4"/>
  <c r="P18" i="4"/>
  <c r="P19" i="4"/>
  <c r="P22" i="4"/>
  <c r="P23" i="4"/>
  <c r="P26" i="4"/>
  <c r="P27" i="4"/>
  <c r="P30" i="4"/>
  <c r="P31" i="4"/>
  <c r="P34" i="4"/>
  <c r="P35" i="4"/>
  <c r="P38" i="4"/>
  <c r="P39" i="4"/>
  <c r="P42" i="4"/>
  <c r="P43" i="4"/>
  <c r="P46" i="4"/>
  <c r="P47" i="4"/>
  <c r="P50" i="4"/>
  <c r="P51" i="4"/>
  <c r="P54" i="4"/>
  <c r="P55" i="4"/>
  <c r="P58" i="4"/>
  <c r="P59" i="4"/>
  <c r="P62" i="4"/>
  <c r="P63" i="4"/>
  <c r="P66" i="4"/>
  <c r="P67" i="4"/>
  <c r="P70" i="4"/>
  <c r="P71" i="4"/>
  <c r="P74" i="4"/>
  <c r="P75" i="4"/>
  <c r="P78" i="4"/>
  <c r="P79" i="4"/>
  <c r="P82" i="4"/>
  <c r="P83" i="4"/>
  <c r="P86" i="4"/>
  <c r="P87" i="4"/>
  <c r="P90" i="4"/>
  <c r="P91" i="4"/>
  <c r="P94" i="4"/>
  <c r="P95" i="4"/>
  <c r="P98" i="4"/>
  <c r="P99" i="4"/>
  <c r="P102" i="4"/>
  <c r="P103" i="4"/>
  <c r="P106" i="4"/>
  <c r="P107" i="4"/>
  <c r="P110" i="4"/>
  <c r="P111" i="4"/>
  <c r="P114" i="4"/>
  <c r="P115" i="4"/>
  <c r="P2" i="4"/>
  <c r="C4" i="4" l="1"/>
  <c r="D4" i="4"/>
  <c r="C38" i="4"/>
  <c r="D38" i="4"/>
  <c r="C39" i="4"/>
  <c r="D39" i="4"/>
  <c r="C55" i="4"/>
  <c r="D55" i="4"/>
  <c r="C56" i="4"/>
  <c r="D56" i="4"/>
  <c r="C62" i="4"/>
  <c r="D62" i="4"/>
  <c r="C80" i="4"/>
  <c r="D80" i="4"/>
  <c r="C5" i="4"/>
  <c r="D5" i="4"/>
  <c r="C11" i="4"/>
  <c r="D11" i="4"/>
  <c r="C12" i="4"/>
  <c r="D12" i="4"/>
  <c r="C18" i="4"/>
  <c r="D18" i="4"/>
  <c r="C64" i="4"/>
  <c r="D64" i="4"/>
  <c r="C75" i="4"/>
  <c r="D75" i="4"/>
  <c r="C10" i="4"/>
  <c r="D10" i="4"/>
  <c r="C42" i="4"/>
  <c r="D42" i="4"/>
  <c r="C109" i="4"/>
  <c r="D109" i="4"/>
  <c r="C2" i="4"/>
  <c r="D2" i="4"/>
  <c r="C116" i="4"/>
  <c r="D116" i="4"/>
  <c r="D3" i="4"/>
  <c r="C3" i="4"/>
  <c r="G3" i="4"/>
  <c r="G9" i="4"/>
  <c r="G13" i="4"/>
  <c r="G17" i="4"/>
  <c r="G21" i="4"/>
  <c r="G25" i="4"/>
  <c r="G29" i="4"/>
  <c r="G33" i="4"/>
  <c r="G37" i="4"/>
  <c r="G41" i="4"/>
  <c r="G45" i="4"/>
  <c r="G49" i="4"/>
  <c r="G53" i="4"/>
  <c r="G57" i="4"/>
  <c r="G61" i="4"/>
  <c r="G65" i="4"/>
  <c r="G69" i="4"/>
  <c r="G73" i="4"/>
  <c r="G77" i="4"/>
  <c r="G81" i="4"/>
  <c r="G85" i="4"/>
  <c r="G89" i="4"/>
  <c r="G93" i="4"/>
  <c r="G97" i="4"/>
  <c r="G101" i="4"/>
  <c r="G105" i="4"/>
  <c r="G109" i="4"/>
  <c r="G113" i="4"/>
  <c r="G48" i="4"/>
  <c r="G60" i="4"/>
  <c r="G68" i="4"/>
  <c r="G76" i="4"/>
  <c r="G84" i="4"/>
  <c r="G92" i="4"/>
  <c r="G100" i="4"/>
  <c r="G108" i="4"/>
  <c r="G116" i="4"/>
  <c r="G4" i="4"/>
  <c r="G6" i="4"/>
  <c r="G10" i="4"/>
  <c r="G14" i="4"/>
  <c r="G18" i="4"/>
  <c r="G22" i="4"/>
  <c r="G26" i="4"/>
  <c r="G30" i="4"/>
  <c r="G34" i="4"/>
  <c r="G38" i="4"/>
  <c r="G42" i="4"/>
  <c r="G46" i="4"/>
  <c r="G50" i="4"/>
  <c r="G54" i="4"/>
  <c r="G58" i="4"/>
  <c r="G62" i="4"/>
  <c r="G66" i="4"/>
  <c r="G70" i="4"/>
  <c r="G74" i="4"/>
  <c r="G78" i="4"/>
  <c r="G82" i="4"/>
  <c r="G86" i="4"/>
  <c r="G90" i="4"/>
  <c r="G94" i="4"/>
  <c r="G98" i="4"/>
  <c r="G102" i="4"/>
  <c r="G106" i="4"/>
  <c r="G110" i="4"/>
  <c r="G114" i="4"/>
  <c r="G5" i="4"/>
  <c r="G7" i="4"/>
  <c r="G11" i="4"/>
  <c r="G15" i="4"/>
  <c r="G19" i="4"/>
  <c r="G23" i="4"/>
  <c r="G27" i="4"/>
  <c r="G31" i="4"/>
  <c r="G35" i="4"/>
  <c r="G39" i="4"/>
  <c r="G43" i="4"/>
  <c r="G47" i="4"/>
  <c r="G51" i="4"/>
  <c r="G55" i="4"/>
  <c r="G59" i="4"/>
  <c r="G63" i="4"/>
  <c r="G67" i="4"/>
  <c r="G71" i="4"/>
  <c r="G75" i="4"/>
  <c r="G79" i="4"/>
  <c r="G83" i="4"/>
  <c r="G87" i="4"/>
  <c r="G91" i="4"/>
  <c r="G95" i="4"/>
  <c r="G99" i="4"/>
  <c r="G103" i="4"/>
  <c r="G107" i="4"/>
  <c r="G111" i="4"/>
  <c r="G115" i="4"/>
  <c r="G8" i="4"/>
  <c r="G12" i="4"/>
  <c r="G16" i="4"/>
  <c r="G20" i="4"/>
  <c r="G24" i="4"/>
  <c r="G28" i="4"/>
  <c r="G32" i="4"/>
  <c r="G36" i="4"/>
  <c r="G40" i="4"/>
  <c r="G44" i="4"/>
  <c r="G52" i="4"/>
  <c r="G56" i="4"/>
  <c r="G64" i="4"/>
  <c r="G72" i="4"/>
  <c r="G80" i="4"/>
  <c r="G88" i="4"/>
  <c r="G96" i="4"/>
  <c r="G104" i="4"/>
  <c r="G112" i="4"/>
  <c r="G2" i="4"/>
  <c r="I13" i="4"/>
  <c r="I29" i="4"/>
  <c r="I45" i="4"/>
  <c r="I61" i="4"/>
  <c r="I17" i="4"/>
  <c r="I49" i="4"/>
  <c r="I3" i="4"/>
  <c r="I21" i="4"/>
  <c r="I37" i="4"/>
  <c r="I53" i="4"/>
  <c r="I25" i="4"/>
  <c r="I41" i="4"/>
  <c r="I57" i="4"/>
  <c r="I9" i="4"/>
  <c r="I33" i="4"/>
  <c r="I65" i="4"/>
  <c r="I69" i="4"/>
  <c r="I73" i="4"/>
  <c r="I77" i="4"/>
  <c r="I81" i="4"/>
  <c r="I85" i="4"/>
  <c r="I89" i="4"/>
  <c r="I93" i="4"/>
  <c r="I97" i="4"/>
  <c r="I101" i="4"/>
  <c r="I105" i="4"/>
  <c r="I109" i="4"/>
  <c r="I113" i="4"/>
  <c r="I91" i="4"/>
  <c r="I111" i="4"/>
  <c r="I4" i="4"/>
  <c r="I18" i="4"/>
  <c r="I34" i="4"/>
  <c r="I50" i="4"/>
  <c r="I6" i="4"/>
  <c r="I22" i="4"/>
  <c r="I38" i="4"/>
  <c r="I54" i="4"/>
  <c r="I10" i="4"/>
  <c r="I26" i="4"/>
  <c r="I58" i="4"/>
  <c r="I14" i="4"/>
  <c r="I30" i="4"/>
  <c r="I46" i="4"/>
  <c r="I62" i="4"/>
  <c r="I42" i="4"/>
  <c r="I66" i="4"/>
  <c r="I70" i="4"/>
  <c r="I74" i="4"/>
  <c r="I78" i="4"/>
  <c r="I82" i="4"/>
  <c r="I86" i="4"/>
  <c r="I90" i="4"/>
  <c r="I94" i="4"/>
  <c r="I98" i="4"/>
  <c r="I102" i="4"/>
  <c r="I106" i="4"/>
  <c r="I110" i="4"/>
  <c r="I114" i="4"/>
  <c r="I5" i="4"/>
  <c r="I19" i="4"/>
  <c r="I35" i="4"/>
  <c r="I51" i="4"/>
  <c r="I7" i="4"/>
  <c r="I23" i="4"/>
  <c r="I39" i="4"/>
  <c r="I55" i="4"/>
  <c r="I11" i="4"/>
  <c r="I27" i="4"/>
  <c r="I43" i="4"/>
  <c r="I59" i="4"/>
  <c r="I31" i="4"/>
  <c r="I47" i="4"/>
  <c r="I63" i="4"/>
  <c r="I15" i="4"/>
  <c r="I67" i="4"/>
  <c r="I71" i="4"/>
  <c r="I75" i="4"/>
  <c r="I79" i="4"/>
  <c r="I83" i="4"/>
  <c r="I95" i="4"/>
  <c r="I99" i="4"/>
  <c r="I103" i="4"/>
  <c r="I115" i="4"/>
  <c r="I8" i="4"/>
  <c r="I24" i="4"/>
  <c r="I40" i="4"/>
  <c r="I56" i="4"/>
  <c r="I44" i="4"/>
  <c r="I36" i="4"/>
  <c r="I12" i="4"/>
  <c r="I28" i="4"/>
  <c r="I60" i="4"/>
  <c r="I16" i="4"/>
  <c r="I32" i="4"/>
  <c r="I48" i="4"/>
  <c r="I64" i="4"/>
  <c r="I20" i="4"/>
  <c r="I52" i="4"/>
  <c r="I68" i="4"/>
  <c r="I72" i="4"/>
  <c r="I76" i="4"/>
  <c r="I80" i="4"/>
  <c r="I84" i="4"/>
  <c r="I88" i="4"/>
  <c r="I92" i="4"/>
  <c r="I96" i="4"/>
  <c r="I100" i="4"/>
  <c r="I104" i="4"/>
  <c r="I108" i="4"/>
  <c r="I112" i="4"/>
  <c r="I116" i="4"/>
  <c r="I87" i="4"/>
  <c r="I107" i="4"/>
  <c r="I2" i="4"/>
  <c r="E3" i="4"/>
  <c r="K5" i="4"/>
  <c r="H8" i="4"/>
  <c r="M3" i="4"/>
  <c r="J6" i="4"/>
  <c r="L8" i="4"/>
  <c r="J4" i="4"/>
  <c r="N6" i="4"/>
  <c r="N4" i="4"/>
  <c r="K7" i="4"/>
  <c r="E9" i="4"/>
  <c r="K11" i="4"/>
  <c r="M9" i="4"/>
  <c r="H12" i="4"/>
  <c r="J10" i="4"/>
  <c r="L12" i="4"/>
  <c r="N10" i="4"/>
  <c r="E13" i="4"/>
  <c r="K15" i="4"/>
  <c r="M13" i="4"/>
  <c r="H16" i="4"/>
  <c r="J14" i="4"/>
  <c r="L16" i="4"/>
  <c r="N14" i="4"/>
  <c r="E17" i="4"/>
  <c r="K19" i="4"/>
  <c r="M17" i="4"/>
  <c r="H20" i="4"/>
  <c r="J18" i="4"/>
  <c r="L20" i="4"/>
  <c r="N18" i="4"/>
  <c r="E21" i="4"/>
  <c r="K23" i="4"/>
  <c r="M21" i="4"/>
  <c r="H24" i="4"/>
  <c r="J22" i="4"/>
  <c r="L24" i="4"/>
  <c r="N22" i="4"/>
  <c r="E25" i="4"/>
  <c r="K27" i="4"/>
  <c r="H28" i="4"/>
  <c r="L28" i="4"/>
  <c r="N26" i="4"/>
  <c r="M25" i="4"/>
  <c r="J26" i="4"/>
  <c r="E29" i="4"/>
  <c r="K31" i="4"/>
  <c r="J30" i="4"/>
  <c r="L32" i="4"/>
  <c r="N30" i="4"/>
  <c r="M29" i="4"/>
  <c r="H32" i="4"/>
  <c r="E33" i="4"/>
  <c r="K35" i="4"/>
  <c r="N34" i="4"/>
  <c r="M33" i="4"/>
  <c r="H36" i="4"/>
  <c r="J34" i="4"/>
  <c r="L36" i="4"/>
  <c r="E37" i="4"/>
  <c r="K39" i="4"/>
  <c r="H40" i="4"/>
  <c r="L40" i="4"/>
  <c r="N38" i="4"/>
  <c r="M37" i="4"/>
  <c r="J38" i="4"/>
  <c r="E41" i="4"/>
  <c r="K43" i="4"/>
  <c r="J42" i="4"/>
  <c r="N42" i="4"/>
  <c r="M41" i="4"/>
  <c r="H44" i="4"/>
  <c r="L44" i="4"/>
  <c r="E45" i="4"/>
  <c r="H5" i="4"/>
  <c r="L7" i="4"/>
  <c r="J3" i="4"/>
  <c r="L5" i="4"/>
  <c r="N3" i="4"/>
  <c r="K4" i="4"/>
  <c r="H7" i="4"/>
  <c r="K6" i="4"/>
  <c r="E8" i="4"/>
  <c r="K10" i="4"/>
  <c r="M8" i="4"/>
  <c r="J9" i="4"/>
  <c r="L11" i="4"/>
  <c r="H11" i="4"/>
  <c r="N9" i="4"/>
  <c r="E12" i="4"/>
  <c r="K14" i="4"/>
  <c r="M12" i="4"/>
  <c r="J13" i="4"/>
  <c r="L15" i="4"/>
  <c r="H15" i="4"/>
  <c r="N13" i="4"/>
  <c r="E16" i="4"/>
  <c r="K18" i="4"/>
  <c r="J17" i="4"/>
  <c r="L19" i="4"/>
  <c r="H19" i="4"/>
  <c r="N17" i="4"/>
  <c r="M16" i="4"/>
  <c r="E20" i="4"/>
  <c r="K22" i="4"/>
  <c r="J21" i="4"/>
  <c r="L23" i="4"/>
  <c r="H23" i="4"/>
  <c r="N21" i="4"/>
  <c r="M20" i="4"/>
  <c r="E24" i="4"/>
  <c r="K3" i="4"/>
  <c r="H4" i="4"/>
  <c r="L4" i="4"/>
  <c r="E5" i="4"/>
  <c r="M5" i="4"/>
  <c r="H6" i="4"/>
  <c r="L6" i="4"/>
  <c r="E7" i="4"/>
  <c r="K9" i="4"/>
  <c r="M7" i="4"/>
  <c r="H10" i="4"/>
  <c r="J8" i="4"/>
  <c r="N8" i="4"/>
  <c r="L10" i="4"/>
  <c r="E11" i="4"/>
  <c r="N12" i="4"/>
  <c r="K13" i="4"/>
  <c r="M11" i="4"/>
  <c r="H14" i="4"/>
  <c r="J12" i="4"/>
  <c r="L14" i="4"/>
  <c r="E15" i="4"/>
  <c r="N16" i="4"/>
  <c r="M15" i="4"/>
  <c r="J16" i="4"/>
  <c r="L18" i="4"/>
  <c r="K17" i="4"/>
  <c r="H18" i="4"/>
  <c r="E19" i="4"/>
  <c r="N20" i="4"/>
  <c r="M19" i="4"/>
  <c r="H22" i="4"/>
  <c r="J20" i="4"/>
  <c r="L22" i="4"/>
  <c r="K21" i="4"/>
  <c r="E23" i="4"/>
  <c r="M4" i="4"/>
  <c r="K8" i="4"/>
  <c r="H3" i="4"/>
  <c r="E10" i="4"/>
  <c r="N15" i="4"/>
  <c r="K24" i="4"/>
  <c r="H17" i="4"/>
  <c r="K25" i="4"/>
  <c r="J11" i="4"/>
  <c r="L21" i="4"/>
  <c r="M18" i="4"/>
  <c r="E26" i="4"/>
  <c r="K26" i="4"/>
  <c r="E27" i="4"/>
  <c r="J27" i="4"/>
  <c r="E28" i="4"/>
  <c r="N31" i="4"/>
  <c r="H34" i="4"/>
  <c r="M36" i="4"/>
  <c r="N32" i="4"/>
  <c r="M34" i="4"/>
  <c r="L37" i="4"/>
  <c r="J28" i="4"/>
  <c r="H33" i="4"/>
  <c r="H35" i="4"/>
  <c r="L38" i="4"/>
  <c r="J29" i="4"/>
  <c r="N33" i="4"/>
  <c r="M35" i="4"/>
  <c r="L3" i="4"/>
  <c r="E6" i="4"/>
  <c r="J7" i="4"/>
  <c r="L17" i="4"/>
  <c r="H13" i="4"/>
  <c r="M14" i="4"/>
  <c r="N11" i="4"/>
  <c r="K20" i="4"/>
  <c r="E22" i="4"/>
  <c r="L26" i="4"/>
  <c r="J23" i="4"/>
  <c r="L27" i="4"/>
  <c r="M24" i="4"/>
  <c r="K28" i="4"/>
  <c r="L25" i="4"/>
  <c r="K29" i="4"/>
  <c r="E30" i="4"/>
  <c r="K30" i="4"/>
  <c r="E31" i="4"/>
  <c r="J31" i="4"/>
  <c r="E32" i="4"/>
  <c r="J32" i="4"/>
  <c r="J33" i="4"/>
  <c r="N35" i="4"/>
  <c r="E4" i="4"/>
  <c r="M10" i="4"/>
  <c r="K16" i="4"/>
  <c r="H9" i="4"/>
  <c r="J5" i="4"/>
  <c r="L13" i="4"/>
  <c r="N7" i="4"/>
  <c r="E18" i="4"/>
  <c r="J19" i="4"/>
  <c r="N25" i="4"/>
  <c r="M27" i="4"/>
  <c r="L31" i="4"/>
  <c r="M23" i="4"/>
  <c r="H26" i="4"/>
  <c r="M28" i="4"/>
  <c r="K32" i="4"/>
  <c r="N24" i="4"/>
  <c r="M26" i="4"/>
  <c r="L29" i="4"/>
  <c r="K33" i="4"/>
  <c r="H25" i="4"/>
  <c r="H27" i="4"/>
  <c r="L30" i="4"/>
  <c r="E34" i="4"/>
  <c r="K34" i="4"/>
  <c r="E35" i="4"/>
  <c r="J35" i="4"/>
  <c r="E36" i="4"/>
  <c r="N39" i="4"/>
  <c r="H42" i="4"/>
  <c r="M44" i="4"/>
  <c r="M42" i="4"/>
  <c r="K45" i="4"/>
  <c r="M43" i="4"/>
  <c r="N40" i="4"/>
  <c r="J36" i="4"/>
  <c r="H41" i="4"/>
  <c r="H43" i="4"/>
  <c r="H46" i="4"/>
  <c r="J37" i="4"/>
  <c r="N41" i="4"/>
  <c r="L46" i="4"/>
  <c r="E47" i="4"/>
  <c r="J48" i="4"/>
  <c r="L50" i="4"/>
  <c r="K49" i="4"/>
  <c r="M47" i="4"/>
  <c r="H50" i="4"/>
  <c r="N48" i="4"/>
  <c r="E51" i="4"/>
  <c r="K53" i="4"/>
  <c r="J52" i="4"/>
  <c r="N52" i="4"/>
  <c r="M51" i="4"/>
  <c r="H54" i="4"/>
  <c r="L54" i="4"/>
  <c r="E55" i="4"/>
  <c r="K57" i="4"/>
  <c r="J56" i="4"/>
  <c r="L58" i="4"/>
  <c r="N56" i="4"/>
  <c r="M55" i="4"/>
  <c r="H58" i="4"/>
  <c r="E59" i="4"/>
  <c r="K61" i="4"/>
  <c r="M59" i="4"/>
  <c r="J60" i="4"/>
  <c r="L62" i="4"/>
  <c r="H62" i="4"/>
  <c r="N60" i="4"/>
  <c r="E63" i="4"/>
  <c r="M63" i="4"/>
  <c r="J64" i="4"/>
  <c r="N64" i="4"/>
  <c r="K65" i="4"/>
  <c r="H66" i="4"/>
  <c r="L66" i="4"/>
  <c r="E67" i="4"/>
  <c r="M67" i="4"/>
  <c r="E14" i="4"/>
  <c r="J24" i="4"/>
  <c r="H30" i="4"/>
  <c r="N19" i="4"/>
  <c r="E38" i="4"/>
  <c r="E39" i="4"/>
  <c r="K41" i="4"/>
  <c r="N46" i="4"/>
  <c r="M48" i="4"/>
  <c r="L51" i="4"/>
  <c r="K55" i="4"/>
  <c r="J43" i="4"/>
  <c r="H47" i="4"/>
  <c r="H49" i="4"/>
  <c r="L52" i="4"/>
  <c r="N44" i="4"/>
  <c r="N47" i="4"/>
  <c r="M49" i="4"/>
  <c r="L53" i="4"/>
  <c r="L39" i="4"/>
  <c r="N45" i="4"/>
  <c r="H48" i="4"/>
  <c r="M50" i="4"/>
  <c r="K54" i="4"/>
  <c r="E56" i="4"/>
  <c r="K56" i="4"/>
  <c r="E57" i="4"/>
  <c r="J57" i="4"/>
  <c r="E58" i="4"/>
  <c r="N62" i="4"/>
  <c r="M64" i="4"/>
  <c r="H63" i="4"/>
  <c r="J58" i="4"/>
  <c r="J59" i="4"/>
  <c r="N63" i="4"/>
  <c r="N61" i="4"/>
  <c r="H64" i="4"/>
  <c r="H65" i="4"/>
  <c r="M65" i="4"/>
  <c r="M66" i="4"/>
  <c r="L67" i="4"/>
  <c r="J68" i="4"/>
  <c r="N68" i="4"/>
  <c r="K69" i="4"/>
  <c r="H70" i="4"/>
  <c r="L70" i="4"/>
  <c r="E71" i="4"/>
  <c r="M71" i="4"/>
  <c r="J72" i="4"/>
  <c r="N72" i="4"/>
  <c r="K73" i="4"/>
  <c r="H74" i="4"/>
  <c r="L74" i="4"/>
  <c r="E75" i="4"/>
  <c r="M75" i="4"/>
  <c r="J76" i="4"/>
  <c r="N76" i="4"/>
  <c r="K77" i="4"/>
  <c r="H78" i="4"/>
  <c r="L78" i="4"/>
  <c r="E79" i="4"/>
  <c r="M79" i="4"/>
  <c r="J80" i="4"/>
  <c r="N80" i="4"/>
  <c r="K81" i="4"/>
  <c r="H82" i="4"/>
  <c r="L82" i="4"/>
  <c r="E83" i="4"/>
  <c r="M83" i="4"/>
  <c r="J84" i="4"/>
  <c r="N84" i="4"/>
  <c r="K85" i="4"/>
  <c r="H86" i="4"/>
  <c r="L86" i="4"/>
  <c r="E87" i="4"/>
  <c r="M87" i="4"/>
  <c r="J88" i="4"/>
  <c r="N88" i="4"/>
  <c r="K89" i="4"/>
  <c r="H90" i="4"/>
  <c r="L90" i="4"/>
  <c r="E91" i="4"/>
  <c r="M91" i="4"/>
  <c r="J92" i="4"/>
  <c r="N92" i="4"/>
  <c r="K93" i="4"/>
  <c r="H94" i="4"/>
  <c r="L94" i="4"/>
  <c r="E95" i="4"/>
  <c r="M95" i="4"/>
  <c r="J96" i="4"/>
  <c r="N96" i="4"/>
  <c r="K97" i="4"/>
  <c r="H98" i="4"/>
  <c r="L98" i="4"/>
  <c r="E99" i="4"/>
  <c r="M99" i="4"/>
  <c r="J100" i="4"/>
  <c r="N100" i="4"/>
  <c r="K101" i="4"/>
  <c r="H102" i="4"/>
  <c r="L102" i="4"/>
  <c r="E103" i="4"/>
  <c r="M103" i="4"/>
  <c r="J104" i="4"/>
  <c r="N104" i="4"/>
  <c r="K105" i="4"/>
  <c r="H106" i="4"/>
  <c r="L106" i="4"/>
  <c r="E107" i="4"/>
  <c r="M107" i="4"/>
  <c r="J108" i="4"/>
  <c r="N108" i="4"/>
  <c r="K109" i="4"/>
  <c r="H110" i="4"/>
  <c r="L110" i="4"/>
  <c r="E111" i="4"/>
  <c r="M111" i="4"/>
  <c r="J112" i="4"/>
  <c r="N112" i="4"/>
  <c r="K113" i="4"/>
  <c r="H114" i="4"/>
  <c r="L114" i="4"/>
  <c r="E115" i="4"/>
  <c r="M115" i="4"/>
  <c r="J116" i="4"/>
  <c r="N116" i="4"/>
  <c r="K80" i="4"/>
  <c r="H81" i="4"/>
  <c r="L81" i="4"/>
  <c r="E82" i="4"/>
  <c r="M82" i="4"/>
  <c r="J83" i="4"/>
  <c r="K84" i="4"/>
  <c r="H85" i="4"/>
  <c r="L85" i="4"/>
  <c r="E86" i="4"/>
  <c r="J87" i="4"/>
  <c r="N87" i="4"/>
  <c r="K88" i="4"/>
  <c r="L89" i="4"/>
  <c r="M90" i="4"/>
  <c r="N91" i="4"/>
  <c r="L93" i="4"/>
  <c r="E94" i="4"/>
  <c r="M94" i="4"/>
  <c r="N95" i="4"/>
  <c r="K96" i="4"/>
  <c r="H97" i="4"/>
  <c r="L97" i="4"/>
  <c r="E98" i="4"/>
  <c r="J99" i="4"/>
  <c r="N99" i="4"/>
  <c r="K100" i="4"/>
  <c r="N5" i="4"/>
  <c r="N28" i="4"/>
  <c r="H37" i="4"/>
  <c r="L41" i="4"/>
  <c r="J15" i="4"/>
  <c r="M32" i="4"/>
  <c r="M39" i="4"/>
  <c r="L9" i="4"/>
  <c r="M30" i="4"/>
  <c r="H38" i="4"/>
  <c r="H21" i="4"/>
  <c r="L34" i="4"/>
  <c r="J40" i="4"/>
  <c r="E43" i="4"/>
  <c r="J45" i="4"/>
  <c r="L43" i="4"/>
  <c r="E46" i="4"/>
  <c r="N49" i="4"/>
  <c r="H52" i="4"/>
  <c r="M54" i="4"/>
  <c r="K58" i="4"/>
  <c r="K59" i="4"/>
  <c r="H51" i="4"/>
  <c r="H53" i="4"/>
  <c r="J47" i="4"/>
  <c r="N51" i="4"/>
  <c r="M53" i="4"/>
  <c r="L57" i="4"/>
  <c r="N50" i="4"/>
  <c r="M52" i="4"/>
  <c r="L55" i="4"/>
  <c r="J46" i="4"/>
  <c r="L56" i="4"/>
  <c r="E60" i="4"/>
  <c r="K60" i="4"/>
  <c r="E61" i="4"/>
  <c r="J61" i="4"/>
  <c r="E62" i="4"/>
  <c r="J62" i="4"/>
  <c r="J63" i="4"/>
  <c r="N65" i="4"/>
  <c r="N66" i="4"/>
  <c r="H67" i="4"/>
  <c r="N67" i="4"/>
  <c r="K68" i="4"/>
  <c r="H69" i="4"/>
  <c r="L69" i="4"/>
  <c r="E70" i="4"/>
  <c r="M70" i="4"/>
  <c r="J71" i="4"/>
  <c r="N71" i="4"/>
  <c r="K72" i="4"/>
  <c r="H73" i="4"/>
  <c r="L73" i="4"/>
  <c r="E74" i="4"/>
  <c r="M74" i="4"/>
  <c r="J75" i="4"/>
  <c r="N75" i="4"/>
  <c r="K76" i="4"/>
  <c r="H77" i="4"/>
  <c r="L77" i="4"/>
  <c r="E78" i="4"/>
  <c r="M78" i="4"/>
  <c r="J79" i="4"/>
  <c r="N79" i="4"/>
  <c r="N83" i="4"/>
  <c r="M86" i="4"/>
  <c r="H89" i="4"/>
  <c r="E90" i="4"/>
  <c r="J91" i="4"/>
  <c r="K92" i="4"/>
  <c r="H93" i="4"/>
  <c r="J95" i="4"/>
  <c r="M98" i="4"/>
  <c r="J25" i="4"/>
  <c r="K37" i="4"/>
  <c r="K38" i="4"/>
  <c r="H31" i="4"/>
  <c r="H39" i="4"/>
  <c r="K36" i="4"/>
  <c r="M22" i="4"/>
  <c r="H29" i="4"/>
  <c r="E40" i="4"/>
  <c r="N43" i="4"/>
  <c r="K47" i="4"/>
  <c r="J44" i="4"/>
  <c r="K40" i="4"/>
  <c r="L45" i="4"/>
  <c r="K42" i="4"/>
  <c r="K46" i="4"/>
  <c r="E48" i="4"/>
  <c r="K48" i="4"/>
  <c r="E49" i="4"/>
  <c r="J49" i="4"/>
  <c r="E50" i="4"/>
  <c r="N53" i="4"/>
  <c r="H56" i="4"/>
  <c r="M58" i="4"/>
  <c r="K62" i="4"/>
  <c r="K63" i="4"/>
  <c r="H55" i="4"/>
  <c r="L60" i="4"/>
  <c r="J51" i="4"/>
  <c r="N55" i="4"/>
  <c r="M57" i="4"/>
  <c r="L61" i="4"/>
  <c r="N54" i="4"/>
  <c r="M56" i="4"/>
  <c r="L59" i="4"/>
  <c r="J50" i="4"/>
  <c r="H57" i="4"/>
  <c r="E64" i="4"/>
  <c r="K64" i="4"/>
  <c r="E65" i="4"/>
  <c r="J65" i="4"/>
  <c r="E66" i="4"/>
  <c r="J66" i="4"/>
  <c r="J67" i="4"/>
  <c r="H68" i="4"/>
  <c r="L68" i="4"/>
  <c r="E69" i="4"/>
  <c r="M69" i="4"/>
  <c r="J70" i="4"/>
  <c r="N70" i="4"/>
  <c r="K71" i="4"/>
  <c r="H72" i="4"/>
  <c r="L72" i="4"/>
  <c r="E73" i="4"/>
  <c r="M73" i="4"/>
  <c r="J74" i="4"/>
  <c r="N74" i="4"/>
  <c r="K75" i="4"/>
  <c r="H76" i="4"/>
  <c r="L76" i="4"/>
  <c r="E77" i="4"/>
  <c r="M77" i="4"/>
  <c r="J78" i="4"/>
  <c r="N78" i="4"/>
  <c r="K79" i="4"/>
  <c r="H80" i="4"/>
  <c r="L80" i="4"/>
  <c r="E81" i="4"/>
  <c r="M81" i="4"/>
  <c r="J82" i="4"/>
  <c r="N82" i="4"/>
  <c r="K83" i="4"/>
  <c r="H84" i="4"/>
  <c r="L84" i="4"/>
  <c r="E85" i="4"/>
  <c r="M85" i="4"/>
  <c r="J86" i="4"/>
  <c r="N86" i="4"/>
  <c r="K87" i="4"/>
  <c r="M38" i="4"/>
  <c r="M6" i="4"/>
  <c r="L33" i="4"/>
  <c r="J41" i="4"/>
  <c r="E44" i="4"/>
  <c r="E52" i="4"/>
  <c r="E54" i="4"/>
  <c r="N59" i="4"/>
  <c r="L63" i="4"/>
  <c r="N57" i="4"/>
  <c r="M61" i="4"/>
  <c r="L65" i="4"/>
  <c r="K67" i="4"/>
  <c r="K70" i="4"/>
  <c r="E72" i="4"/>
  <c r="J73" i="4"/>
  <c r="N77" i="4"/>
  <c r="H79" i="4"/>
  <c r="M80" i="4"/>
  <c r="L83" i="4"/>
  <c r="K86" i="4"/>
  <c r="E88" i="4"/>
  <c r="M88" i="4"/>
  <c r="J89" i="4"/>
  <c r="L91" i="4"/>
  <c r="N93" i="4"/>
  <c r="K94" i="4"/>
  <c r="H95" i="4"/>
  <c r="E96" i="4"/>
  <c r="M96" i="4"/>
  <c r="J97" i="4"/>
  <c r="L99" i="4"/>
  <c r="E101" i="4"/>
  <c r="J101" i="4"/>
  <c r="E102" i="4"/>
  <c r="J102" i="4"/>
  <c r="J103" i="4"/>
  <c r="N105" i="4"/>
  <c r="N106" i="4"/>
  <c r="H107" i="4"/>
  <c r="N107" i="4"/>
  <c r="H108" i="4"/>
  <c r="M108" i="4"/>
  <c r="H109" i="4"/>
  <c r="M109" i="4"/>
  <c r="M110" i="4"/>
  <c r="L111" i="4"/>
  <c r="L112" i="4"/>
  <c r="L113" i="4"/>
  <c r="K114" i="4"/>
  <c r="K115" i="4"/>
  <c r="E116" i="4"/>
  <c r="K116" i="4"/>
  <c r="M97" i="4"/>
  <c r="L101" i="4"/>
  <c r="K102" i="4"/>
  <c r="K103" i="4"/>
  <c r="K104" i="4"/>
  <c r="E105" i="4"/>
  <c r="E106" i="4"/>
  <c r="J106" i="4"/>
  <c r="J107" i="4"/>
  <c r="N109" i="4"/>
  <c r="H111" i="4"/>
  <c r="N111" i="4"/>
  <c r="H112" i="4"/>
  <c r="H113" i="4"/>
  <c r="M113" i="4"/>
  <c r="L115" i="4"/>
  <c r="K107" i="4"/>
  <c r="K108" i="4"/>
  <c r="E109" i="4"/>
  <c r="E110" i="4"/>
  <c r="J111" i="4"/>
  <c r="N115" i="4"/>
  <c r="H116" i="4"/>
  <c r="N23" i="4"/>
  <c r="K74" i="4"/>
  <c r="H83" i="4"/>
  <c r="M84" i="4"/>
  <c r="L88" i="4"/>
  <c r="N90" i="4"/>
  <c r="H92" i="4"/>
  <c r="J94" i="4"/>
  <c r="L96" i="4"/>
  <c r="K99" i="4"/>
  <c r="H103" i="4"/>
  <c r="H104" i="4"/>
  <c r="H105" i="4"/>
  <c r="L108" i="4"/>
  <c r="E112" i="4"/>
  <c r="E113" i="4"/>
  <c r="E114" i="4"/>
  <c r="J114" i="4"/>
  <c r="J39" i="4"/>
  <c r="K12" i="4"/>
  <c r="N27" i="4"/>
  <c r="L35" i="4"/>
  <c r="E42" i="4"/>
  <c r="K50" i="4"/>
  <c r="M46" i="4"/>
  <c r="J54" i="4"/>
  <c r="L48" i="4"/>
  <c r="H60" i="4"/>
  <c r="K44" i="4"/>
  <c r="K52" i="4"/>
  <c r="E68" i="4"/>
  <c r="J69" i="4"/>
  <c r="N73" i="4"/>
  <c r="H75" i="4"/>
  <c r="M76" i="4"/>
  <c r="L79" i="4"/>
  <c r="K82" i="4"/>
  <c r="E84" i="4"/>
  <c r="J85" i="4"/>
  <c r="H88" i="4"/>
  <c r="E89" i="4"/>
  <c r="M89" i="4"/>
  <c r="J90" i="4"/>
  <c r="L92" i="4"/>
  <c r="N94" i="4"/>
  <c r="K95" i="4"/>
  <c r="H96" i="4"/>
  <c r="E97" i="4"/>
  <c r="J98" i="4"/>
  <c r="L100" i="4"/>
  <c r="E104" i="4"/>
  <c r="J105" i="4"/>
  <c r="N110" i="4"/>
  <c r="M112" i="4"/>
  <c r="M114" i="4"/>
  <c r="L116" i="4"/>
  <c r="J110" i="4"/>
  <c r="N114" i="4"/>
  <c r="M116" i="4"/>
  <c r="M40" i="4"/>
  <c r="H61" i="4"/>
  <c r="M45" i="4"/>
  <c r="N37" i="4"/>
  <c r="J53" i="4"/>
  <c r="L49" i="4"/>
  <c r="J77" i="4"/>
  <c r="E93" i="4"/>
  <c r="H100" i="4"/>
  <c r="N101" i="4"/>
  <c r="N103" i="4"/>
  <c r="M105" i="4"/>
  <c r="L107" i="4"/>
  <c r="L109" i="4"/>
  <c r="K111" i="4"/>
  <c r="J113" i="4"/>
  <c r="J115" i="4"/>
  <c r="H45" i="4"/>
  <c r="N29" i="4"/>
  <c r="N36" i="4"/>
  <c r="L42" i="4"/>
  <c r="E53" i="4"/>
  <c r="M60" i="4"/>
  <c r="M62" i="4"/>
  <c r="L64" i="4"/>
  <c r="N58" i="4"/>
  <c r="K66" i="4"/>
  <c r="N69" i="4"/>
  <c r="H71" i="4"/>
  <c r="M72" i="4"/>
  <c r="L75" i="4"/>
  <c r="K78" i="4"/>
  <c r="E80" i="4"/>
  <c r="J81" i="4"/>
  <c r="N85" i="4"/>
  <c r="H87" i="4"/>
  <c r="N89" i="4"/>
  <c r="K90" i="4"/>
  <c r="H91" i="4"/>
  <c r="E92" i="4"/>
  <c r="M92" i="4"/>
  <c r="J93" i="4"/>
  <c r="L95" i="4"/>
  <c r="N97" i="4"/>
  <c r="K98" i="4"/>
  <c r="H99" i="4"/>
  <c r="E100" i="4"/>
  <c r="M100" i="4"/>
  <c r="H101" i="4"/>
  <c r="M101" i="4"/>
  <c r="M102" i="4"/>
  <c r="L103" i="4"/>
  <c r="L104" i="4"/>
  <c r="L105" i="4"/>
  <c r="K106" i="4"/>
  <c r="E108" i="4"/>
  <c r="J109" i="4"/>
  <c r="N113" i="4"/>
  <c r="H115" i="4"/>
  <c r="K51" i="4"/>
  <c r="M31" i="4"/>
  <c r="H59" i="4"/>
  <c r="L47" i="4"/>
  <c r="J55" i="4"/>
  <c r="M68" i="4"/>
  <c r="L71" i="4"/>
  <c r="E76" i="4"/>
  <c r="N81" i="4"/>
  <c r="L87" i="4"/>
  <c r="K91" i="4"/>
  <c r="M93" i="4"/>
  <c r="N98" i="4"/>
  <c r="N102" i="4"/>
  <c r="M104" i="4"/>
  <c r="M106" i="4"/>
  <c r="K110" i="4"/>
  <c r="K112" i="4"/>
  <c r="N2" i="4"/>
  <c r="M2" i="4"/>
  <c r="L2" i="4"/>
  <c r="K2" i="4"/>
  <c r="J2" i="4"/>
  <c r="H2" i="4"/>
  <c r="E2" i="4"/>
  <c r="F3" i="4"/>
  <c r="F7" i="4"/>
  <c r="F11" i="4"/>
  <c r="F15" i="4"/>
  <c r="F19" i="4"/>
  <c r="F23" i="4"/>
  <c r="F27" i="4"/>
  <c r="F31" i="4"/>
  <c r="F35" i="4"/>
  <c r="F39" i="4"/>
  <c r="F43" i="4"/>
  <c r="F47" i="4"/>
  <c r="F51" i="4"/>
  <c r="F55" i="4"/>
  <c r="F59" i="4"/>
  <c r="F63" i="4"/>
  <c r="F67" i="4"/>
  <c r="F71" i="4"/>
  <c r="F75" i="4"/>
  <c r="F79" i="4"/>
  <c r="F83" i="4"/>
  <c r="F87" i="4"/>
  <c r="F91" i="4"/>
  <c r="F95" i="4"/>
  <c r="F99" i="4"/>
  <c r="F103" i="4"/>
  <c r="F107" i="4"/>
  <c r="F111" i="4"/>
  <c r="F115" i="4"/>
  <c r="F34" i="4"/>
  <c r="F58" i="4"/>
  <c r="F70" i="4"/>
  <c r="F78" i="4"/>
  <c r="F86" i="4"/>
  <c r="F94" i="4"/>
  <c r="F102" i="4"/>
  <c r="F110" i="4"/>
  <c r="F4" i="4"/>
  <c r="F8" i="4"/>
  <c r="F12" i="4"/>
  <c r="F16" i="4"/>
  <c r="F20" i="4"/>
  <c r="F24" i="4"/>
  <c r="F28" i="4"/>
  <c r="F32" i="4"/>
  <c r="F36" i="4"/>
  <c r="F40" i="4"/>
  <c r="F44" i="4"/>
  <c r="F48" i="4"/>
  <c r="F52" i="4"/>
  <c r="F56" i="4"/>
  <c r="F60" i="4"/>
  <c r="F64" i="4"/>
  <c r="F68" i="4"/>
  <c r="F72" i="4"/>
  <c r="F76" i="4"/>
  <c r="F80" i="4"/>
  <c r="F84" i="4"/>
  <c r="F88" i="4"/>
  <c r="F92" i="4"/>
  <c r="F96" i="4"/>
  <c r="F100" i="4"/>
  <c r="F104" i="4"/>
  <c r="F108" i="4"/>
  <c r="F112" i="4"/>
  <c r="F116" i="4"/>
  <c r="F5" i="4"/>
  <c r="F9" i="4"/>
  <c r="F13" i="4"/>
  <c r="F17" i="4"/>
  <c r="F21" i="4"/>
  <c r="F25" i="4"/>
  <c r="F29" i="4"/>
  <c r="F33" i="4"/>
  <c r="F37" i="4"/>
  <c r="F41" i="4"/>
  <c r="F45" i="4"/>
  <c r="F49" i="4"/>
  <c r="F53" i="4"/>
  <c r="F57" i="4"/>
  <c r="F61" i="4"/>
  <c r="F65" i="4"/>
  <c r="F69" i="4"/>
  <c r="F73" i="4"/>
  <c r="F77" i="4"/>
  <c r="F81" i="4"/>
  <c r="F85" i="4"/>
  <c r="F89" i="4"/>
  <c r="F93" i="4"/>
  <c r="F97" i="4"/>
  <c r="F101" i="4"/>
  <c r="F105" i="4"/>
  <c r="F109" i="4"/>
  <c r="F113" i="4"/>
  <c r="F6" i="4"/>
  <c r="F10" i="4"/>
  <c r="F14" i="4"/>
  <c r="F18" i="4"/>
  <c r="F22" i="4"/>
  <c r="F26" i="4"/>
  <c r="F30" i="4"/>
  <c r="F38" i="4"/>
  <c r="F42" i="4"/>
  <c r="F46" i="4"/>
  <c r="F50" i="4"/>
  <c r="F54" i="4"/>
  <c r="F62" i="4"/>
  <c r="F66" i="4"/>
  <c r="F74" i="4"/>
  <c r="F82" i="4"/>
  <c r="F90" i="4"/>
  <c r="F98" i="4"/>
  <c r="F106" i="4"/>
  <c r="F114" i="4"/>
  <c r="F2" i="4"/>
  <c r="C23" i="4" l="1"/>
  <c r="D23" i="4"/>
  <c r="C52" i="4"/>
  <c r="D52" i="4"/>
  <c r="C67" i="4"/>
  <c r="D67" i="4"/>
  <c r="C84" i="4"/>
  <c r="D84" i="4"/>
  <c r="C46" i="4"/>
  <c r="D46" i="4"/>
  <c r="C92" i="4"/>
  <c r="D92" i="4"/>
  <c r="C59" i="4"/>
  <c r="D59" i="4"/>
  <c r="C8" i="4"/>
  <c r="D8" i="4"/>
  <c r="C34" i="4"/>
  <c r="D34" i="4"/>
  <c r="C90" i="4"/>
  <c r="D90" i="4"/>
  <c r="C45" i="4"/>
  <c r="D45" i="4"/>
  <c r="C51" i="4"/>
  <c r="D51" i="4"/>
  <c r="C86" i="4"/>
  <c r="D86" i="4"/>
  <c r="C82" i="4"/>
  <c r="D82" i="4"/>
  <c r="C20" i="4"/>
  <c r="D20" i="4"/>
  <c r="C69" i="4"/>
  <c r="D69" i="4"/>
  <c r="C9" i="4"/>
  <c r="D9" i="4"/>
  <c r="C19" i="4"/>
  <c r="D19" i="4"/>
  <c r="C30" i="4"/>
  <c r="D30" i="4"/>
  <c r="C87" i="4"/>
  <c r="D87" i="4"/>
  <c r="C15" i="4"/>
  <c r="D15" i="4"/>
  <c r="C25" i="4"/>
  <c r="D25" i="4"/>
  <c r="C68" i="4"/>
  <c r="D68" i="4"/>
  <c r="C91" i="4"/>
  <c r="D91" i="4"/>
  <c r="C72" i="4"/>
  <c r="D72" i="4"/>
  <c r="C76" i="4"/>
  <c r="D76" i="4"/>
  <c r="C89" i="4"/>
  <c r="D89" i="4"/>
  <c r="C44" i="4"/>
  <c r="D44" i="4"/>
  <c r="C107" i="4"/>
  <c r="D107" i="4"/>
  <c r="C31" i="4"/>
  <c r="D31" i="4"/>
  <c r="C61" i="4"/>
  <c r="D61" i="4"/>
  <c r="C105" i="4"/>
  <c r="D105" i="4"/>
  <c r="C50" i="4"/>
  <c r="D50" i="4"/>
  <c r="C70" i="4"/>
  <c r="D70" i="4"/>
  <c r="C78" i="4"/>
  <c r="D78" i="4"/>
  <c r="C93" i="4"/>
  <c r="D93" i="4"/>
  <c r="C96" i="4"/>
  <c r="D96" i="4"/>
  <c r="C32" i="4"/>
  <c r="D32" i="4"/>
  <c r="C100" i="4"/>
  <c r="D100" i="4"/>
  <c r="C106" i="4"/>
  <c r="D106" i="4"/>
  <c r="C14" i="4"/>
  <c r="D14" i="4"/>
  <c r="C6" i="4"/>
  <c r="D6" i="4"/>
  <c r="C37" i="4"/>
  <c r="D37" i="4"/>
  <c r="C43" i="4"/>
  <c r="D43" i="4"/>
  <c r="C57" i="4"/>
  <c r="D57" i="4"/>
  <c r="C81" i="4"/>
  <c r="D81" i="4"/>
  <c r="C16" i="4"/>
  <c r="D16" i="4"/>
  <c r="C77" i="4"/>
  <c r="D77" i="4"/>
  <c r="C17" i="4"/>
  <c r="D17" i="4"/>
  <c r="C66" i="4"/>
  <c r="D66" i="4"/>
  <c r="C110" i="4"/>
  <c r="D110" i="4"/>
  <c r="C24" i="4"/>
  <c r="D24" i="4"/>
  <c r="C47" i="4"/>
  <c r="D47" i="4"/>
  <c r="C58" i="4"/>
  <c r="D58" i="4"/>
  <c r="C99" i="4"/>
  <c r="D99" i="4"/>
  <c r="C21" i="4"/>
  <c r="D21" i="4"/>
  <c r="C49" i="4"/>
  <c r="D49" i="4"/>
  <c r="C53" i="4"/>
  <c r="D53" i="4"/>
  <c r="C73" i="4"/>
  <c r="D73" i="4"/>
  <c r="C95" i="4"/>
  <c r="D95" i="4"/>
  <c r="C29" i="4"/>
  <c r="D29" i="4"/>
  <c r="C65" i="4"/>
  <c r="D65" i="4"/>
  <c r="C71" i="4"/>
  <c r="D71" i="4"/>
  <c r="C83" i="4"/>
  <c r="D83" i="4"/>
  <c r="C97" i="4"/>
  <c r="D97" i="4"/>
  <c r="C111" i="4"/>
  <c r="D111" i="4"/>
  <c r="C41" i="4"/>
  <c r="D41" i="4"/>
  <c r="C94" i="4"/>
  <c r="D94" i="4"/>
  <c r="C63" i="4"/>
  <c r="D63" i="4"/>
  <c r="C7" i="4"/>
  <c r="D7" i="4"/>
  <c r="C13" i="4"/>
  <c r="D13" i="4"/>
  <c r="C54" i="4"/>
  <c r="D54" i="4"/>
  <c r="C103" i="4"/>
  <c r="D103" i="4"/>
  <c r="C60" i="4"/>
  <c r="D60" i="4"/>
  <c r="C28" i="4"/>
  <c r="D28" i="4"/>
  <c r="C114" i="4"/>
  <c r="D114" i="4"/>
  <c r="C104" i="4"/>
  <c r="D104" i="4"/>
  <c r="C36" i="4"/>
  <c r="D36" i="4"/>
  <c r="C79" i="4"/>
  <c r="D79" i="4"/>
  <c r="C98" i="4"/>
  <c r="D98" i="4"/>
  <c r="C85" i="4"/>
  <c r="D85" i="4"/>
  <c r="C88" i="4"/>
  <c r="D88" i="4"/>
  <c r="C102" i="4"/>
  <c r="D102" i="4"/>
  <c r="C112" i="4"/>
  <c r="D112" i="4"/>
  <c r="C33" i="4"/>
  <c r="D33" i="4"/>
  <c r="C108" i="4"/>
  <c r="D108" i="4"/>
  <c r="C40" i="4"/>
  <c r="D40" i="4"/>
  <c r="C48" i="4"/>
  <c r="D48" i="4"/>
  <c r="C26" i="4"/>
  <c r="D26" i="4"/>
  <c r="C27" i="4"/>
  <c r="D27" i="4"/>
  <c r="C35" i="4"/>
  <c r="D35" i="4"/>
  <c r="C101" i="4"/>
  <c r="D101" i="4"/>
  <c r="C115" i="4"/>
  <c r="D115" i="4"/>
  <c r="C113" i="4"/>
  <c r="D113" i="4"/>
  <c r="C74" i="4"/>
  <c r="D74" i="4"/>
  <c r="C22" i="4" l="1"/>
  <c r="D22" i="4"/>
</calcChain>
</file>

<file path=xl/sharedStrings.xml><?xml version="1.0" encoding="utf-8"?>
<sst xmlns="http://schemas.openxmlformats.org/spreadsheetml/2006/main" count="244" uniqueCount="198">
  <si>
    <t>Length</t>
  </si>
  <si>
    <t>STREET_NAME</t>
  </si>
  <si>
    <t>ORG_ADDRESS3</t>
  </si>
  <si>
    <t>zip</t>
  </si>
  <si>
    <t>Zip</t>
  </si>
  <si>
    <t>ZONE</t>
  </si>
  <si>
    <t>sin1</t>
  </si>
  <si>
    <t>tin1</t>
  </si>
  <si>
    <t>UNITN</t>
  </si>
  <si>
    <t>d</t>
  </si>
  <si>
    <t>CFHBR</t>
  </si>
  <si>
    <t>CFOBR</t>
  </si>
  <si>
    <t>cal-iz</t>
  </si>
  <si>
    <t>cal-id</t>
  </si>
  <si>
    <t>fze4-id</t>
  </si>
  <si>
    <t>fee4-id</t>
  </si>
  <si>
    <t>DMNPE11</t>
  </si>
  <si>
    <t>DMNPF11</t>
  </si>
  <si>
    <t>x-div-dy</t>
  </si>
  <si>
    <t>x-div-dt</t>
  </si>
  <si>
    <t>[CUIDCPDT]</t>
  </si>
  <si>
    <t>CUIDCPDT</t>
  </si>
  <si>
    <t>zero-type</t>
  </si>
  <si>
    <t>"unal-rate"</t>
  </si>
  <si>
    <t>unal-rate</t>
  </si>
  <si>
    <t>prin-float</t>
  </si>
  <si>
    <t>prin/float</t>
  </si>
  <si>
    <t>pprt-group</t>
  </si>
  <si>
    <t>port-group</t>
  </si>
  <si>
    <t>STREET NAME</t>
  </si>
  <si>
    <t>ORG_APDRESS3</t>
  </si>
  <si>
    <t>DATE_OF_BATH</t>
  </si>
  <si>
    <t>DATE_OF_BIRTH</t>
  </si>
  <si>
    <t>User_Definad_4</t>
  </si>
  <si>
    <t>User_Defined_4</t>
  </si>
  <si>
    <t>ZIP_CODE_SUFFIX</t>
  </si>
  <si>
    <t>CM1_NET_P_AND_I</t>
  </si>
  <si>
    <t>CM1_NET_P_AND_1</t>
  </si>
  <si>
    <t>ip-last-tian-dt</t>
  </si>
  <si>
    <t>ip-last-tran-dt</t>
  </si>
  <si>
    <t>underwriter_code</t>
  </si>
  <si>
    <t>grace_period_num</t>
  </si>
  <si>
    <t>Alternate Bame 4</t>
  </si>
  <si>
    <t>Alternate Name 4</t>
  </si>
  <si>
    <t>ACCOUNT_TAA_TYPE</t>
  </si>
  <si>
    <t>ACCOUNT_TAX_TYPE</t>
  </si>
  <si>
    <t>JOINT_INV_AUTH_06</t>
  </si>
  <si>
    <t>EL_360_365_FACTOR</t>
  </si>
  <si>
    <t>SL_360_365_FACTOR</t>
  </si>
  <si>
    <t>document_set_code</t>
  </si>
  <si>
    <t>ytd-fee-write-down</t>
  </si>
  <si>
    <t>STATZ_LOSS_DATE_08</t>
  </si>
  <si>
    <t>STATE_LOSS_DATE_08</t>
  </si>
  <si>
    <t>OriginalNotwStatus</t>
  </si>
  <si>
    <t>OriginalNoteStatus</t>
  </si>
  <si>
    <t>MI Coverage Percen</t>
  </si>
  <si>
    <t>MI Coverage Percent</t>
  </si>
  <si>
    <t>KeywordFieldPairKey</t>
  </si>
  <si>
    <t>CommitmentTolerance</t>
  </si>
  <si>
    <t>Commitment Tolerance</t>
  </si>
  <si>
    <t>SlsrepLastYrCommAmw7</t>
  </si>
  <si>
    <t>SlsrepLastYrCommAmt7</t>
  </si>
  <si>
    <t>next_pmt_change_date</t>
  </si>
  <si>
    <t>ForeignPnymentAmount</t>
  </si>
  <si>
    <t>ForeignPaymentAmount</t>
  </si>
  <si>
    <t>First Time Hosebuyer</t>
  </si>
  <si>
    <t>First Time Homebuyer</t>
  </si>
  <si>
    <t>borr_2_employer_name</t>
  </si>
  <si>
    <t>TABLE_711_DFSCRIPTION</t>
  </si>
  <si>
    <t>TABLE_711_DESCRIPTION</t>
  </si>
  <si>
    <t>Indicator if Redired?</t>
  </si>
  <si>
    <t>Indicator if Retired?</t>
  </si>
  <si>
    <t>exist_status_exp_flag</t>
  </si>
  <si>
    <t>Borrower Sex - Yemale</t>
  </si>
  <si>
    <t>Borrower Sex - Female</t>
  </si>
  <si>
    <t>YTD_LATE_CHARGE_AMOUNT</t>
  </si>
  <si>
    <t>lease_segment7_dmfault</t>
  </si>
  <si>
    <t>lease_segment7_default</t>
  </si>
  <si>
    <t>ARM_TAX_LIFE_INCR_RATE</t>
  </si>
  <si>
    <t>ARM_MAX_LIFE_INCR_RATE</t>
  </si>
  <si>
    <t>optional-line-placement</t>
  </si>
  <si>
    <t>AnalyzedChargesB4Cnedit</t>
  </si>
  <si>
    <t>AnalyzedChargesB4Credit</t>
  </si>
  <si>
    <t>ORIGINAL_MORTGAGE_AMOUNT</t>
  </si>
  <si>
    <t>home_track_location_code</t>
  </si>
  <si>
    <t>EB3_WELFARE_BENEFIZ_PLAN</t>
  </si>
  <si>
    <t>EB3_WELFARE_BENEFIT_PLAN</t>
  </si>
  <si>
    <t>DateEntractedFromPayplus</t>
  </si>
  <si>
    <t>DateExtractedFromPayplus</t>
  </si>
  <si>
    <t>account_lock_expire_date</t>
  </si>
  <si>
    <t>WLTERNATE_SECURITY_NUMBER</t>
  </si>
  <si>
    <t>ALTERNATE_SECURITY_NUMBER</t>
  </si>
  <si>
    <t>WL5_ACCOUNT_PSEUDO_NUMBER</t>
  </si>
  <si>
    <t>times_delinquent_over_120</t>
  </si>
  <si>
    <t>contrkct_ytd_paid_int_amt</t>
  </si>
  <si>
    <t>contract_ytd_paid_int_amt</t>
  </si>
  <si>
    <t>ss_number_2_encrypt_nonrev</t>
  </si>
  <si>
    <t>release_request_identifier</t>
  </si>
  <si>
    <t>Order Parfy Address Line 1</t>
  </si>
  <si>
    <t>Order Party Address Line 1</t>
  </si>
  <si>
    <t>market_value_override_flag</t>
  </si>
  <si>
    <t>foreclosure_satisfied_date</t>
  </si>
  <si>
    <t>vehicle_insurance_losspayee</t>
  </si>
  <si>
    <t>issuer_credit_rating_moodys</t>
  </si>
  <si>
    <t>contract_ltd_paid_srinc_amt</t>
  </si>
  <si>
    <t>contract_ltd_paid_princ_amt</t>
  </si>
  <si>
    <t>worksheet_field_Audited_CLTV</t>
  </si>
  <si>
    <t>RB30_DESIG_AGT_NAME_AND_ADDR</t>
  </si>
  <si>
    <t>EB30_DESIG_AGT_NAME_AND_ADDR</t>
  </si>
  <si>
    <t>product_credit_rating_moodys</t>
  </si>
  <si>
    <t>NON_REC_CORP_ADVANCE_BALANCE</t>
  </si>
  <si>
    <t>MOD_INFO_AFTER_PI_PMT_AMOUNT</t>
  </si>
  <si>
    <t>ReceivingDFIBranchCounaryCode</t>
  </si>
  <si>
    <t>ReceivingDFIBranchCountryCode</t>
  </si>
  <si>
    <t>Loan Originurion Company City</t>
  </si>
  <si>
    <t>Loan Origination Company City</t>
  </si>
  <si>
    <t>CALCULATED_DISTRIBUTED_AMOUNT</t>
  </si>
  <si>
    <t>AMENDMENT_REVERSAL_SEQ_NUWBER</t>
  </si>
  <si>
    <t>AMENDMENT_REVERSAL_SEQ_NUMBER</t>
  </si>
  <si>
    <t>Present Other Financing_P&amp;I</t>
  </si>
  <si>
    <t>Present Other Financning (P&amp;I)</t>
  </si>
  <si>
    <t>CONSOL_FEE_TRANS_ON_CS1_TO_CS7</t>
  </si>
  <si>
    <t>BI105_PC_QUOTS_DTE_LST_ADD_OR_D</t>
  </si>
  <si>
    <t>BI105_PC_QUOTE_DTE_LST_ADD_OR_D</t>
  </si>
  <si>
    <t>AI27_RECALCULATE_TAX_LOTS_AT_PO</t>
  </si>
  <si>
    <t>Loan_Oriaination_Company_Address</t>
  </si>
  <si>
    <t>Loan_Origination_Company_Address</t>
  </si>
  <si>
    <t>BI84_INVESTMENT_MGMT_ADVISOR_BRN</t>
  </si>
  <si>
    <t>OriginalForwardEntryMaymentAmount</t>
  </si>
  <si>
    <t>OriginalForwardEntryPaymentAmount</t>
  </si>
  <si>
    <t>Present Address Years in Resipence</t>
  </si>
  <si>
    <t>Present Address Years in Residence</t>
  </si>
  <si>
    <t>ForeignCorrespondentBankCountryCode</t>
  </si>
  <si>
    <t>ESCROW_LAST_ANALYSIS_EFFECTIVE_DATE</t>
  </si>
  <si>
    <t>Race - Visual Observation or Surname</t>
  </si>
  <si>
    <t>customer_business_individual_indicator</t>
  </si>
  <si>
    <t>customer_business_indivdual_indicator</t>
  </si>
  <si>
    <t>AgencyControlOverNoticeOfCancellation</t>
  </si>
  <si>
    <t>Initial_Adjustwent_Interest_Rate_Ceiling</t>
  </si>
  <si>
    <t>Initial_Adjustment_Interest_Rate_Ceiling</t>
  </si>
  <si>
    <t>ReceivrngDFIIdentificationNumberQualifier</t>
  </si>
  <si>
    <t>ReceivingDFIIdentificationNumberQualifier</t>
  </si>
  <si>
    <t>Ethnicity - Visual Observation or Surname</t>
  </si>
  <si>
    <t>OriginatingDFIIdentificationNumberQualifier</t>
  </si>
  <si>
    <t>Lifetime_Max_Interest_Rate_Inciease_Percent</t>
  </si>
  <si>
    <t>Lifetime_Max_Interest_Rate_Increase_Percent</t>
  </si>
  <si>
    <t>ForeignCorrespondentBankIdeztificationNumberQualifier</t>
  </si>
  <si>
    <t>ForeignCorrespondentBankIdentificationNumberQualifier</t>
  </si>
  <si>
    <t>Borrower Race - Native Hawaiian or Other Pacific Islander</t>
  </si>
  <si>
    <t>Borrower Ethnicity - I do n0t wish to provide this informat</t>
  </si>
  <si>
    <t>Borrower Ethnicity - I do not wish to provide this informat</t>
  </si>
  <si>
    <t>niche</t>
  </si>
  <si>
    <t>chien</t>
  </si>
  <si>
    <t>Same?</t>
  </si>
  <si>
    <t>Source</t>
  </si>
  <si>
    <t>Target</t>
  </si>
  <si>
    <t>Average</t>
  </si>
  <si>
    <t>11011011</t>
  </si>
  <si>
    <t>01101010</t>
  </si>
  <si>
    <t>toner</t>
  </si>
  <si>
    <t>1011101</t>
  </si>
  <si>
    <t>1001001</t>
  </si>
  <si>
    <t>2173896</t>
  </si>
  <si>
    <t>2233796</t>
  </si>
  <si>
    <t>DEBIT?</t>
  </si>
  <si>
    <t>IsDebit</t>
  </si>
  <si>
    <t>ISDEBIT</t>
  </si>
  <si>
    <t>Hello World</t>
  </si>
  <si>
    <t>HelloWorld.</t>
  </si>
  <si>
    <t>Hodor</t>
  </si>
  <si>
    <t>Hodo?</t>
  </si>
  <si>
    <t>John</t>
  </si>
  <si>
    <t>Joanne</t>
  </si>
  <si>
    <t>ORG_CONT_OTHR_INFO</t>
  </si>
  <si>
    <t>aaaab</t>
  </si>
  <si>
    <t>aaab</t>
  </si>
  <si>
    <t>alter</t>
  </si>
  <si>
    <t>beauties</t>
  </si>
  <si>
    <t>beautiful</t>
  </si>
  <si>
    <t>karolin</t>
  </si>
  <si>
    <t>kathrin</t>
  </si>
  <si>
    <t>night</t>
  </si>
  <si>
    <t>yacht</t>
  </si>
  <si>
    <t>ALEXANDRE</t>
  </si>
  <si>
    <t>ALEKSANDER</t>
  </si>
  <si>
    <t>DWAYNE</t>
  </si>
  <si>
    <t>DUANE</t>
  </si>
  <si>
    <t>Edit Similarity</t>
  </si>
  <si>
    <t>Jaccard Index</t>
  </si>
  <si>
    <t>Jaro-Winkler Similarity</t>
  </si>
  <si>
    <t>Longest Common Subsequence Similarity</t>
  </si>
  <si>
    <t>Longest Common Substring Similarity</t>
  </si>
  <si>
    <t>Overlap Coefficient</t>
  </si>
  <si>
    <t>Ratcliff-Obershelp Similarity</t>
  </si>
  <si>
    <t>Sorensen-Dice Coefficient</t>
  </si>
  <si>
    <t>Levenshtein Similarity</t>
  </si>
  <si>
    <t>Test Case</t>
  </si>
  <si>
    <t>Hamming Similarity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</si>
</sst>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quotePrefix="1"/>
    <xf numFmtId="0" fontId="1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116"/>
  <sheetViews>
    <sheetView tabSelected="1" zoomScale="90" zoomScaleNormal="90" workbookViewId="0">
      <pane xSplit="2" ySplit="1" topLeftCell="P86" activePane="bottomRight" state="frozen"/>
      <selection pane="topRight" activeCell="C1" sqref="C1"/>
      <selection pane="bottomLeft" activeCell="A2" sqref="A2"/>
      <selection pane="bottomRight" activeCell="P94" sqref="P94"/>
    </sheetView>
  </sheetViews>
  <sheetFormatPr defaultRowHeight="15" x14ac:dyDescent="0.25"/>
  <cols>
    <col min="1" max="2" width="24.7109375" customWidth="1"/>
    <col min="3" max="4" width="9.7109375" customWidth="1"/>
    <col min="5" max="15" width="15.7109375" customWidth="1"/>
    <col min="16" max="16" width="255.7109375" bestFit="1" customWidth="1"/>
  </cols>
  <sheetData>
    <row r="1" spans="1:16" s="2" customFormat="1" ht="60" x14ac:dyDescent="0.25">
      <c r="A1" s="2" t="s">
        <v>154</v>
      </c>
      <c r="B1" s="2" t="s">
        <v>155</v>
      </c>
      <c r="C1" s="2" t="s">
        <v>153</v>
      </c>
      <c r="D1" s="2" t="s">
        <v>0</v>
      </c>
      <c r="E1" s="2" t="s">
        <v>187</v>
      </c>
      <c r="F1" s="2" t="s">
        <v>197</v>
      </c>
      <c r="G1" s="2" t="s">
        <v>188</v>
      </c>
      <c r="H1" s="2" t="s">
        <v>189</v>
      </c>
      <c r="I1" s="2" t="s">
        <v>195</v>
      </c>
      <c r="J1" s="2" t="s">
        <v>190</v>
      </c>
      <c r="K1" s="2" t="s">
        <v>191</v>
      </c>
      <c r="L1" s="2" t="s">
        <v>192</v>
      </c>
      <c r="M1" s="2" t="s">
        <v>193</v>
      </c>
      <c r="N1" s="2" t="s">
        <v>194</v>
      </c>
      <c r="O1" s="2" t="s">
        <v>156</v>
      </c>
      <c r="P1" s="2" t="s">
        <v>196</v>
      </c>
    </row>
    <row r="2" spans="1:16" x14ac:dyDescent="0.25">
      <c r="A2" s="1" t="s">
        <v>160</v>
      </c>
      <c r="B2" s="1" t="s">
        <v>161</v>
      </c>
      <c r="C2" t="b">
        <f t="shared" ref="C2:C33" si="0">EXACT(A2,B2)</f>
        <v>0</v>
      </c>
      <c r="D2">
        <f t="shared" ref="D2:D33" si="1">LEN(A2)</f>
        <v>7</v>
      </c>
      <c r="E2">
        <f>EditSimilarity(A2, B2)</f>
        <v>0.7142857142857143</v>
      </c>
      <c r="F2">
        <f>HammingSimilarity(A2, B2)</f>
        <v>0.7142857142857143</v>
      </c>
      <c r="G2">
        <f>JaccardIndex(A2, B2)</f>
        <v>0.16666666666666666</v>
      </c>
      <c r="H2">
        <f t="shared" ref="H2:H33" si="2">JaroWinklerSimilarity(A2, B2)</f>
        <v>0.82000000000000006</v>
      </c>
      <c r="I2">
        <f t="shared" ref="I2:I33" si="3">LevenshteinSimilarity(A2, B2)</f>
        <v>0.7142857142857143</v>
      </c>
      <c r="J2">
        <f t="shared" ref="J2:J33" si="4">LongestCommonSubsequenceSimilarity(A2, B2)</f>
        <v>0.7142857142857143</v>
      </c>
      <c r="K2">
        <f t="shared" ref="K2:K33" si="5">LongestCommonSubstringSimilarity(A2, B2)</f>
        <v>0.2857142857142857</v>
      </c>
      <c r="L2">
        <f t="shared" ref="L2:L33" si="6">OverlapCoefficient(A2, B2)</f>
        <v>0.2857142857142857</v>
      </c>
      <c r="M2">
        <f t="shared" ref="M2:M33" si="7">RatcliffObershelpSimilarity(A2, B2)</f>
        <v>0.42857142857142855</v>
      </c>
      <c r="N2">
        <f t="shared" ref="N2:N33" si="8">SorensenDiceCoefficient(A2, B2)</f>
        <v>0.2857142857142857</v>
      </c>
      <c r="O2">
        <f>AVERAGE(E2,F2,G2,H2,I2,J2,K2,L2,M2,N2)</f>
        <v>0.51295238095238094</v>
      </c>
      <c r="P2" t="str">
        <f>"{" &amp;
CHAR(34) &amp; "Average" &amp; CHAR(34) &amp; ":" &amp; O2 &amp; "," &amp;
CHAR(34) &amp; "EditSimilarity" &amp; CHAR(34) &amp; ":" &amp;  E2 &amp; "," &amp;
CHAR(34) &amp; "HammingSimilarity" &amp; CHAR(34) &amp; ":" &amp;  F2 &amp; "," &amp;
CHAR(34) &amp; "JaccardIndex" &amp; CHAR(34) &amp; ":" &amp;  G2 &amp; "," &amp;
CHAR(34) &amp; "JaroWinklerSimilarity" &amp; CHAR(34) &amp; ":" &amp; H2 &amp; "," &amp;
CHAR(34) &amp; "LevenshteinSimilarity" &amp; CHAR(34) &amp; ":" &amp; I2 &amp; "," &amp;
CHAR(34) &amp; "LongestCommonSubsequenceSimilarity" &amp; CHAR(34) &amp; ":" &amp; J2 &amp; "," &amp;
CHAR(34) &amp; "LongestCommonSubstringSimilarity" &amp; CHAR(34) &amp; ":" &amp;  K2 &amp; "," &amp;
CHAR(34) &amp; "OverlapCoefficient" &amp; CHAR(34) &amp; ":" &amp; L2 &amp; "," &amp;
CHAR(34) &amp; "RatcliffObershelpSimilarity" &amp; CHAR(34) &amp; ":" &amp; M2 &amp; "," &amp;
CHAR(34) &amp; "SorensenDiceCoefficient" &amp; CHAR(34) &amp; ":" &amp; N2 &amp; "," &amp;
CHAR(34) &amp; "Source" &amp; CHAR(34) &amp; ":" &amp; CHAR(34) &amp; A2 &amp; CHAR(34) &amp; "," &amp;
CHAR(34) &amp; "Target" &amp; CHAR(34) &amp; ":" &amp; CHAR(34) &amp; B2 &amp; CHAR(34) &amp; "},"</f>
        <v>{"Average":0.512952380952381,"EditSimilarity":0.714285714285714,"HammingSimilarity":0.714285714285714,"JaccardIndex":0.166666666666667,"JaroWinklerSimilarity":0.82,"LevenshteinSimilarity":0.714285714285714,"LongestCommonSubsequenceSimilarity":0.714285714285714,"LongestCommonSubstringSimilarity":0.285714285714286,"OverlapCoefficient":0.285714285714286,"RatcliffObershelpSimilarity":0.428571428571429,"SorensenDiceCoefficient":0.285714285714286,"Source":"1011101","Target":"1001001"},</v>
      </c>
    </row>
    <row r="3" spans="1:16" x14ac:dyDescent="0.25">
      <c r="A3" s="1" t="s">
        <v>158</v>
      </c>
      <c r="B3" s="1" t="s">
        <v>157</v>
      </c>
      <c r="C3" t="b">
        <f t="shared" si="0"/>
        <v>0</v>
      </c>
      <c r="D3">
        <f t="shared" si="1"/>
        <v>8</v>
      </c>
      <c r="E3">
        <f t="shared" ref="E3:E64" si="9">EditSimilarity(A3, B3)</f>
        <v>0.5</v>
      </c>
      <c r="F3">
        <f t="shared" ref="F3:F66" si="10">HammingSimilarity(A3, B3)</f>
        <v>0.5</v>
      </c>
      <c r="G3">
        <f t="shared" ref="G3:G64" si="11">JaccardIndex(A3, B3)</f>
        <v>0.14285714285714285</v>
      </c>
      <c r="H3">
        <f t="shared" si="2"/>
        <v>0.75</v>
      </c>
      <c r="I3">
        <f t="shared" si="3"/>
        <v>0.625</v>
      </c>
      <c r="J3">
        <f t="shared" si="4"/>
        <v>0.75</v>
      </c>
      <c r="K3">
        <f t="shared" si="5"/>
        <v>0.625</v>
      </c>
      <c r="L3">
        <f t="shared" si="6"/>
        <v>0.25</v>
      </c>
      <c r="M3">
        <f t="shared" si="7"/>
        <v>0.75</v>
      </c>
      <c r="N3">
        <f t="shared" si="8"/>
        <v>0.25</v>
      </c>
      <c r="O3">
        <f t="shared" ref="O3:O66" si="12">AVERAGE(E3,F3,G3,H3,I3,J3,K3,L3,M3,N3)</f>
        <v>0.51428571428571423</v>
      </c>
      <c r="P3" t="str">
        <f t="shared" ref="P3:P66" si="13">"{" &amp;
CHAR(34) &amp; "Average" &amp; CHAR(34) &amp; ":" &amp; O3 &amp; "," &amp;
CHAR(34) &amp; "EditSimilarity" &amp; CHAR(34) &amp; ":" &amp;  E3 &amp; "," &amp;
CHAR(34) &amp; "HammingSimilarity" &amp; CHAR(34) &amp; ":" &amp;  F3 &amp; "," &amp;
CHAR(34) &amp; "JaccardIndex" &amp; CHAR(34) &amp; ":" &amp;  G3 &amp; "," &amp;
CHAR(34) &amp; "JaroWinklerSimilarity" &amp; CHAR(34) &amp; ":" &amp; H3 &amp; "," &amp;
CHAR(34) &amp; "LevenshteinSimilarity" &amp; CHAR(34) &amp; ":" &amp; I3 &amp; "," &amp;
CHAR(34) &amp; "LongestCommonSubsequenceSimilarity" &amp; CHAR(34) &amp; ":" &amp; J3 &amp; "," &amp;
CHAR(34) &amp; "LongestCommonSubstringSimilarity" &amp; CHAR(34) &amp; ":" &amp;  K3 &amp; "," &amp;
CHAR(34) &amp; "OverlapCoefficient" &amp; CHAR(34) &amp; ":" &amp; L3 &amp; "," &amp;
CHAR(34) &amp; "RatcliffObershelpSimilarity" &amp; CHAR(34) &amp; ":" &amp; M3 &amp; "," &amp;
CHAR(34) &amp; "SorensenDiceCoefficient" &amp; CHAR(34) &amp; ":" &amp; N3 &amp; "," &amp;
CHAR(34) &amp; "Source" &amp; CHAR(34) &amp; ":" &amp; CHAR(34) &amp; A3 &amp; CHAR(34) &amp; "," &amp;
CHAR(34) &amp; "Target" &amp; CHAR(34) &amp; ":" &amp; CHAR(34) &amp; B3 &amp; CHAR(34) &amp; "},"</f>
        <v>{"Average":0.514285714285714,"EditSimilarity":0.5,"HammingSimilarity":0.5,"JaccardIndex":0.142857142857143,"JaroWinklerSimilarity":0.75,"LevenshteinSimilarity":0.625,"LongestCommonSubsequenceSimilarity":0.75,"LongestCommonSubstringSimilarity":0.625,"OverlapCoefficient":0.25,"RatcliffObershelpSimilarity":0.75,"SorensenDiceCoefficient":0.25,"Source":"01101010","Target":"11011011"},</v>
      </c>
    </row>
    <row r="4" spans="1:16" x14ac:dyDescent="0.25">
      <c r="A4" s="1" t="s">
        <v>162</v>
      </c>
      <c r="B4" s="1" t="s">
        <v>163</v>
      </c>
      <c r="C4" t="b">
        <f t="shared" si="0"/>
        <v>0</v>
      </c>
      <c r="D4">
        <f t="shared" si="1"/>
        <v>7</v>
      </c>
      <c r="E4">
        <f t="shared" si="9"/>
        <v>0.5714285714285714</v>
      </c>
      <c r="F4">
        <f t="shared" si="10"/>
        <v>0.5714285714285714</v>
      </c>
      <c r="G4">
        <f t="shared" si="11"/>
        <v>0.55555555555555558</v>
      </c>
      <c r="H4">
        <f t="shared" si="2"/>
        <v>0.79428571428571426</v>
      </c>
      <c r="I4">
        <f t="shared" si="3"/>
        <v>0.5714285714285714</v>
      </c>
      <c r="J4">
        <f t="shared" si="4"/>
        <v>0.5714285714285714</v>
      </c>
      <c r="K4">
        <f t="shared" si="5"/>
        <v>0.2857142857142857</v>
      </c>
      <c r="L4">
        <f t="shared" si="6"/>
        <v>0.7142857142857143</v>
      </c>
      <c r="M4">
        <f t="shared" si="7"/>
        <v>0.7142857142857143</v>
      </c>
      <c r="N4">
        <f t="shared" si="8"/>
        <v>0.7142857142857143</v>
      </c>
      <c r="O4">
        <f t="shared" si="12"/>
        <v>0.6064126984126984</v>
      </c>
      <c r="P4" t="str">
        <f t="shared" si="13"/>
        <v>{"Average":0.606412698412698,"EditSimilarity":0.571428571428571,"HammingSimilarity":0.571428571428571,"JaccardIndex":0.555555555555556,"JaroWinklerSimilarity":0.794285714285714,"LevenshteinSimilarity":0.571428571428571,"LongestCommonSubsequenceSimilarity":0.571428571428571,"LongestCommonSubstringSimilarity":0.285714285714286,"OverlapCoefficient":0.714285714285714,"RatcliffObershelpSimilarity":0.714285714285714,"SorensenDiceCoefficient":0.714285714285714,"Source":"2173896","Target":"2233796"},</v>
      </c>
    </row>
    <row r="5" spans="1:16" x14ac:dyDescent="0.25">
      <c r="A5" t="s">
        <v>174</v>
      </c>
      <c r="B5" t="s">
        <v>175</v>
      </c>
      <c r="C5" t="b">
        <f t="shared" si="0"/>
        <v>0</v>
      </c>
      <c r="D5">
        <f t="shared" si="1"/>
        <v>5</v>
      </c>
      <c r="E5">
        <f t="shared" si="9"/>
        <v>0.6</v>
      </c>
      <c r="F5">
        <f t="shared" si="10"/>
        <v>0</v>
      </c>
      <c r="G5">
        <f t="shared" si="11"/>
        <v>0.2857142857142857</v>
      </c>
      <c r="H5">
        <f t="shared" si="2"/>
        <v>0.95333333333333337</v>
      </c>
      <c r="I5">
        <f t="shared" si="3"/>
        <v>0.8</v>
      </c>
      <c r="J5">
        <f t="shared" si="4"/>
        <v>1</v>
      </c>
      <c r="K5">
        <f t="shared" si="5"/>
        <v>1</v>
      </c>
      <c r="L5">
        <f t="shared" si="6"/>
        <v>0.5</v>
      </c>
      <c r="M5">
        <f t="shared" si="7"/>
        <v>0.88888888888888884</v>
      </c>
      <c r="N5">
        <f t="shared" si="8"/>
        <v>0.44444444444444442</v>
      </c>
      <c r="O5">
        <f t="shared" si="12"/>
        <v>0.64723809523809517</v>
      </c>
      <c r="P5" t="str">
        <f t="shared" si="13"/>
        <v>{"Average":0.647238095238095,"EditSimilarity":0.6,"HammingSimilarity":0,"JaccardIndex":0.285714285714286,"JaroWinklerSimilarity":0.953333333333333,"LevenshteinSimilarity":0.8,"LongestCommonSubsequenceSimilarity":1,"LongestCommonSubstringSimilarity":1,"OverlapCoefficient":0.5,"RatcliffObershelpSimilarity":0.888888888888889,"SorensenDiceCoefficient":0.444444444444444,"Source":"aaaab","Target":"aaab"},</v>
      </c>
    </row>
    <row r="6" spans="1:16" x14ac:dyDescent="0.25">
      <c r="A6" t="s">
        <v>89</v>
      </c>
      <c r="B6" t="s">
        <v>89</v>
      </c>
      <c r="C6" t="b">
        <f t="shared" si="0"/>
        <v>1</v>
      </c>
      <c r="D6">
        <f t="shared" si="1"/>
        <v>24</v>
      </c>
      <c r="E6">
        <f t="shared" si="9"/>
        <v>1</v>
      </c>
      <c r="F6">
        <f t="shared" si="10"/>
        <v>1</v>
      </c>
      <c r="G6">
        <f t="shared" si="11"/>
        <v>1</v>
      </c>
      <c r="H6">
        <f t="shared" si="2"/>
        <v>1</v>
      </c>
      <c r="I6">
        <f t="shared" si="3"/>
        <v>1</v>
      </c>
      <c r="J6">
        <f t="shared" si="4"/>
        <v>1</v>
      </c>
      <c r="K6">
        <f t="shared" si="5"/>
        <v>1</v>
      </c>
      <c r="L6">
        <f t="shared" si="6"/>
        <v>1</v>
      </c>
      <c r="M6">
        <f t="shared" si="7"/>
        <v>1</v>
      </c>
      <c r="N6">
        <f t="shared" si="8"/>
        <v>1</v>
      </c>
      <c r="O6">
        <f t="shared" si="12"/>
        <v>1</v>
      </c>
      <c r="P6" t="str">
        <f t="shared" si="13"/>
        <v>{"Average":1,"EditSimilarity":1,"HammingSimilarity":1,"JaccardIndex":1,"JaroWinklerSimilarity":1,"LevenshteinSimilarity":1,"LongestCommonSubsequenceSimilarity":1,"LongestCommonSubstringSimilarity":1,"OverlapCoefficient":1,"RatcliffObershelpSimilarity":1,"SorensenDiceCoefficient":1,"Source":"account_lock_expire_date","Target":"account_lock_expire_date"},</v>
      </c>
    </row>
    <row r="7" spans="1:16" x14ac:dyDescent="0.25">
      <c r="A7" t="s">
        <v>45</v>
      </c>
      <c r="B7" t="s">
        <v>44</v>
      </c>
      <c r="C7" t="b">
        <f t="shared" si="0"/>
        <v>0</v>
      </c>
      <c r="D7">
        <f t="shared" si="1"/>
        <v>16</v>
      </c>
      <c r="E7">
        <f t="shared" si="9"/>
        <v>0.9375</v>
      </c>
      <c r="F7">
        <f t="shared" si="10"/>
        <v>0.9375</v>
      </c>
      <c r="G7">
        <f t="shared" si="11"/>
        <v>0.45454545454545453</v>
      </c>
      <c r="H7">
        <f t="shared" si="2"/>
        <v>0.97499999999999998</v>
      </c>
      <c r="I7">
        <f t="shared" si="3"/>
        <v>0.9375</v>
      </c>
      <c r="J7">
        <f t="shared" si="4"/>
        <v>0.9375</v>
      </c>
      <c r="K7">
        <f t="shared" si="5"/>
        <v>0.625</v>
      </c>
      <c r="L7">
        <f t="shared" si="6"/>
        <v>0.625</v>
      </c>
      <c r="M7">
        <f t="shared" si="7"/>
        <v>0.9375</v>
      </c>
      <c r="N7">
        <f t="shared" si="8"/>
        <v>0.625</v>
      </c>
      <c r="O7">
        <f t="shared" si="12"/>
        <v>0.79920454545454545</v>
      </c>
      <c r="P7" t="str">
        <f t="shared" si="13"/>
        <v>{"Average":0.799204545454545,"EditSimilarity":0.9375,"HammingSimilarity":0.9375,"JaccardIndex":0.454545454545455,"JaroWinklerSimilarity":0.975,"LevenshteinSimilarity":0.9375,"LongestCommonSubsequenceSimilarity":0.9375,"LongestCommonSubstringSimilarity":0.625,"OverlapCoefficient":0.625,"RatcliffObershelpSimilarity":0.9375,"SorensenDiceCoefficient":0.625,"Source":"ACCOUNT_TAX_TYPE","Target":"ACCOUNT_TAA_TYPE"},</v>
      </c>
    </row>
    <row r="8" spans="1:16" x14ac:dyDescent="0.25">
      <c r="A8" t="s">
        <v>137</v>
      </c>
      <c r="B8" t="s">
        <v>137</v>
      </c>
      <c r="C8" t="b">
        <f t="shared" si="0"/>
        <v>1</v>
      </c>
      <c r="D8">
        <f t="shared" si="1"/>
        <v>37</v>
      </c>
      <c r="E8">
        <f t="shared" si="9"/>
        <v>1</v>
      </c>
      <c r="F8">
        <f t="shared" si="10"/>
        <v>1</v>
      </c>
      <c r="G8">
        <f t="shared" si="11"/>
        <v>1</v>
      </c>
      <c r="H8">
        <f t="shared" si="2"/>
        <v>1</v>
      </c>
      <c r="I8">
        <f t="shared" si="3"/>
        <v>1</v>
      </c>
      <c r="J8">
        <f t="shared" si="4"/>
        <v>1</v>
      </c>
      <c r="K8">
        <f t="shared" si="5"/>
        <v>1</v>
      </c>
      <c r="L8">
        <f t="shared" si="6"/>
        <v>1</v>
      </c>
      <c r="M8">
        <f t="shared" si="7"/>
        <v>1</v>
      </c>
      <c r="N8">
        <f t="shared" si="8"/>
        <v>1</v>
      </c>
      <c r="O8">
        <f t="shared" si="12"/>
        <v>1</v>
      </c>
      <c r="P8" t="str">
        <f t="shared" si="13"/>
        <v>{"Average":1,"EditSimilarity":1,"HammingSimilarity":1,"JaccardIndex":1,"JaroWinklerSimilarity":1,"LevenshteinSimilarity":1,"LongestCommonSubsequenceSimilarity":1,"LongestCommonSubstringSimilarity":1,"OverlapCoefficient":1,"RatcliffObershelpSimilarity":1,"SorensenDiceCoefficient":1,"Source":"AgencyControlOverNoticeOfCancellation","Target":"AgencyControlOverNoticeOfCancellation"},</v>
      </c>
    </row>
    <row r="9" spans="1:16" x14ac:dyDescent="0.25">
      <c r="A9" t="s">
        <v>124</v>
      </c>
      <c r="B9" t="s">
        <v>124</v>
      </c>
      <c r="C9" t="b">
        <f t="shared" si="0"/>
        <v>1</v>
      </c>
      <c r="D9">
        <f t="shared" si="1"/>
        <v>31</v>
      </c>
      <c r="E9">
        <f t="shared" si="9"/>
        <v>1</v>
      </c>
      <c r="F9">
        <f t="shared" si="10"/>
        <v>1</v>
      </c>
      <c r="G9">
        <f t="shared" si="11"/>
        <v>1</v>
      </c>
      <c r="H9">
        <f t="shared" si="2"/>
        <v>1</v>
      </c>
      <c r="I9">
        <f t="shared" si="3"/>
        <v>1</v>
      </c>
      <c r="J9">
        <f t="shared" si="4"/>
        <v>1</v>
      </c>
      <c r="K9">
        <f t="shared" si="5"/>
        <v>1</v>
      </c>
      <c r="L9">
        <f t="shared" si="6"/>
        <v>1</v>
      </c>
      <c r="M9">
        <f t="shared" si="7"/>
        <v>1</v>
      </c>
      <c r="N9">
        <f t="shared" si="8"/>
        <v>1</v>
      </c>
      <c r="O9">
        <f t="shared" si="12"/>
        <v>1</v>
      </c>
      <c r="P9" t="str">
        <f t="shared" si="13"/>
        <v>{"Average":1,"EditSimilarity":1,"HammingSimilarity":1,"JaccardIndex":1,"JaroWinklerSimilarity":1,"LevenshteinSimilarity":1,"LongestCommonSubsequenceSimilarity":1,"LongestCommonSubstringSimilarity":1,"OverlapCoefficient":1,"RatcliffObershelpSimilarity":1,"SorensenDiceCoefficient":1,"Source":"AI27_RECALCULATE_TAX_LOTS_AT_PO","Target":"AI27_RECALCULATE_TAX_LOTS_AT_PO"},</v>
      </c>
    </row>
    <row r="10" spans="1:16" x14ac:dyDescent="0.25">
      <c r="A10" t="s">
        <v>183</v>
      </c>
      <c r="B10" t="s">
        <v>184</v>
      </c>
      <c r="C10" t="b">
        <f t="shared" si="0"/>
        <v>0</v>
      </c>
      <c r="D10">
        <f t="shared" si="1"/>
        <v>9</v>
      </c>
      <c r="E10">
        <f t="shared" si="9"/>
        <v>0.4</v>
      </c>
      <c r="F10">
        <f t="shared" si="10"/>
        <v>0</v>
      </c>
      <c r="G10">
        <f t="shared" si="11"/>
        <v>0.46153846153846156</v>
      </c>
      <c r="H10">
        <f t="shared" si="2"/>
        <v>0.89824074074074078</v>
      </c>
      <c r="I10">
        <f t="shared" si="3"/>
        <v>0.6</v>
      </c>
      <c r="J10">
        <f t="shared" si="4"/>
        <v>0.77777777777777779</v>
      </c>
      <c r="K10">
        <f t="shared" si="5"/>
        <v>0.33333333333333331</v>
      </c>
      <c r="L10">
        <f t="shared" si="6"/>
        <v>0.66666666666666663</v>
      </c>
      <c r="M10">
        <f t="shared" si="7"/>
        <v>0.84210526315789469</v>
      </c>
      <c r="N10">
        <f t="shared" si="8"/>
        <v>0.63157894736842102</v>
      </c>
      <c r="O10">
        <f t="shared" si="12"/>
        <v>0.5611241190583296</v>
      </c>
      <c r="P10" t="str">
        <f t="shared" si="13"/>
        <v>{"Average":0.56112411905833,"EditSimilarity":0.4,"HammingSimilarity":0,"JaccardIndex":0.461538461538462,"JaroWinklerSimilarity":0.898240740740741,"LevenshteinSimilarity":0.6,"LongestCommonSubsequenceSimilarity":0.777777777777778,"LongestCommonSubstringSimilarity":0.333333333333333,"OverlapCoefficient":0.666666666666667,"RatcliffObershelpSimilarity":0.842105263157895,"SorensenDiceCoefficient":0.631578947368421,"Source":"ALEXANDRE","Target":"ALEKSANDER"},</v>
      </c>
    </row>
    <row r="11" spans="1:16" x14ac:dyDescent="0.25">
      <c r="A11" t="s">
        <v>176</v>
      </c>
      <c r="B11" t="s">
        <v>159</v>
      </c>
      <c r="C11" t="b">
        <f t="shared" si="0"/>
        <v>0</v>
      </c>
      <c r="D11">
        <f t="shared" si="1"/>
        <v>5</v>
      </c>
      <c r="E11">
        <f t="shared" si="9"/>
        <v>0.4</v>
      </c>
      <c r="F11">
        <f t="shared" si="10"/>
        <v>0.4</v>
      </c>
      <c r="G11">
        <f t="shared" si="11"/>
        <v>0.42857142857142855</v>
      </c>
      <c r="H11">
        <f t="shared" si="2"/>
        <v>0.6</v>
      </c>
      <c r="I11">
        <f t="shared" si="3"/>
        <v>0.4</v>
      </c>
      <c r="J11">
        <f t="shared" si="4"/>
        <v>0.6</v>
      </c>
      <c r="K11">
        <f t="shared" si="5"/>
        <v>0.4</v>
      </c>
      <c r="L11">
        <f t="shared" si="6"/>
        <v>0.6</v>
      </c>
      <c r="M11">
        <f t="shared" si="7"/>
        <v>0.6</v>
      </c>
      <c r="N11">
        <f t="shared" si="8"/>
        <v>0.6</v>
      </c>
      <c r="O11">
        <f t="shared" si="12"/>
        <v>0.50285714285714289</v>
      </c>
      <c r="P11" t="str">
        <f t="shared" si="13"/>
        <v>{"Average":0.502857142857143,"EditSimilarity":0.4,"HammingSimilarity":0.4,"JaccardIndex":0.428571428571429,"JaroWinklerSimilarity":0.6,"LevenshteinSimilarity":0.4,"LongestCommonSubsequenceSimilarity":0.6,"LongestCommonSubstringSimilarity":0.4,"OverlapCoefficient":0.6,"RatcliffObershelpSimilarity":0.6,"SorensenDiceCoefficient":0.6,"Source":"alter","Target":"toner"},</v>
      </c>
    </row>
    <row r="12" spans="1:16" x14ac:dyDescent="0.25">
      <c r="A12" t="s">
        <v>176</v>
      </c>
      <c r="C12" t="b">
        <f t="shared" si="0"/>
        <v>0</v>
      </c>
      <c r="D12">
        <f t="shared" si="1"/>
        <v>5</v>
      </c>
      <c r="E12">
        <f t="shared" si="9"/>
        <v>0</v>
      </c>
      <c r="F12">
        <f t="shared" si="10"/>
        <v>0</v>
      </c>
      <c r="G12">
        <f t="shared" si="11"/>
        <v>0</v>
      </c>
      <c r="H12">
        <f t="shared" si="2"/>
        <v>0</v>
      </c>
      <c r="I12">
        <f t="shared" si="3"/>
        <v>0</v>
      </c>
      <c r="J12">
        <f t="shared" si="4"/>
        <v>0</v>
      </c>
      <c r="K12">
        <f t="shared" si="5"/>
        <v>0</v>
      </c>
      <c r="L12">
        <f t="shared" si="6"/>
        <v>0</v>
      </c>
      <c r="M12">
        <f t="shared" si="7"/>
        <v>0</v>
      </c>
      <c r="N12">
        <f t="shared" si="8"/>
        <v>0</v>
      </c>
      <c r="O12">
        <f t="shared" si="12"/>
        <v>0</v>
      </c>
      <c r="P12" t="str">
        <f t="shared" si="13"/>
        <v>{"Average":0,"EditSimilarity":0,"HammingSimilarity":0,"JaccardIndex":0,"JaroWinklerSimilarity":0,"LevenshteinSimilarity":0,"LongestCommonSubsequenceSimilarity":0,"LongestCommonSubstringSimilarity":0,"OverlapCoefficient":0,"RatcliffObershelpSimilarity":0,"SorensenDiceCoefficient":0,"Source":"alter","Target":""},</v>
      </c>
    </row>
    <row r="13" spans="1:16" x14ac:dyDescent="0.25">
      <c r="A13" t="s">
        <v>43</v>
      </c>
      <c r="B13" t="s">
        <v>42</v>
      </c>
      <c r="C13" t="b">
        <f t="shared" si="0"/>
        <v>0</v>
      </c>
      <c r="D13">
        <f t="shared" si="1"/>
        <v>16</v>
      </c>
      <c r="E13">
        <f t="shared" si="9"/>
        <v>0.9375</v>
      </c>
      <c r="F13">
        <f t="shared" si="10"/>
        <v>0.9375</v>
      </c>
      <c r="G13">
        <f t="shared" si="11"/>
        <v>0.45454545454545453</v>
      </c>
      <c r="H13">
        <f t="shared" si="2"/>
        <v>0.97499999999999998</v>
      </c>
      <c r="I13">
        <f t="shared" si="3"/>
        <v>0.9375</v>
      </c>
      <c r="J13">
        <f t="shared" si="4"/>
        <v>0.9375</v>
      </c>
      <c r="K13">
        <f t="shared" si="5"/>
        <v>0.625</v>
      </c>
      <c r="L13">
        <f t="shared" si="6"/>
        <v>0.625</v>
      </c>
      <c r="M13">
        <f t="shared" si="7"/>
        <v>0.9375</v>
      </c>
      <c r="N13">
        <f t="shared" si="8"/>
        <v>0.625</v>
      </c>
      <c r="O13">
        <f t="shared" si="12"/>
        <v>0.79920454545454545</v>
      </c>
      <c r="P13" t="str">
        <f t="shared" si="13"/>
        <v>{"Average":0.799204545454545,"EditSimilarity":0.9375,"HammingSimilarity":0.9375,"JaccardIndex":0.454545454545455,"JaroWinklerSimilarity":0.975,"LevenshteinSimilarity":0.9375,"LongestCommonSubsequenceSimilarity":0.9375,"LongestCommonSubstringSimilarity":0.625,"OverlapCoefficient":0.625,"RatcliffObershelpSimilarity":0.9375,"SorensenDiceCoefficient":0.625,"Source":"Alternate Name 4","Target":"Alternate Bame 4"},</v>
      </c>
    </row>
    <row r="14" spans="1:16" x14ac:dyDescent="0.25">
      <c r="A14" t="s">
        <v>91</v>
      </c>
      <c r="B14" t="s">
        <v>90</v>
      </c>
      <c r="C14" t="b">
        <f t="shared" si="0"/>
        <v>0</v>
      </c>
      <c r="D14">
        <f t="shared" si="1"/>
        <v>25</v>
      </c>
      <c r="E14">
        <f t="shared" si="9"/>
        <v>0.96</v>
      </c>
      <c r="F14">
        <f t="shared" si="10"/>
        <v>0.96</v>
      </c>
      <c r="G14">
        <f t="shared" si="11"/>
        <v>0.3888888888888889</v>
      </c>
      <c r="H14">
        <f t="shared" si="2"/>
        <v>0.95216666666666661</v>
      </c>
      <c r="I14">
        <f t="shared" si="3"/>
        <v>0.96</v>
      </c>
      <c r="J14">
        <f t="shared" si="4"/>
        <v>0.96</v>
      </c>
      <c r="K14">
        <f t="shared" si="5"/>
        <v>0.96</v>
      </c>
      <c r="L14">
        <f t="shared" si="6"/>
        <v>0.56000000000000005</v>
      </c>
      <c r="M14">
        <f t="shared" si="7"/>
        <v>0.96</v>
      </c>
      <c r="N14">
        <f t="shared" si="8"/>
        <v>0.56000000000000005</v>
      </c>
      <c r="O14">
        <f t="shared" si="12"/>
        <v>0.82210555555555553</v>
      </c>
      <c r="P14" t="str">
        <f t="shared" si="13"/>
        <v>{"Average":0.822105555555556,"EditSimilarity":0.96,"HammingSimilarity":0.96,"JaccardIndex":0.388888888888889,"JaroWinklerSimilarity":0.952166666666667,"LevenshteinSimilarity":0.96,"LongestCommonSubsequenceSimilarity":0.96,"LongestCommonSubstringSimilarity":0.96,"OverlapCoefficient":0.56,"RatcliffObershelpSimilarity":0.96,"SorensenDiceCoefficient":0.56,"Source":"ALTERNATE_SECURITY_NUMBER","Target":"WLTERNATE_SECURITY_NUMBER"},</v>
      </c>
    </row>
    <row r="15" spans="1:16" x14ac:dyDescent="0.25">
      <c r="A15" t="s">
        <v>118</v>
      </c>
      <c r="B15" t="s">
        <v>117</v>
      </c>
      <c r="C15" t="b">
        <f t="shared" si="0"/>
        <v>0</v>
      </c>
      <c r="D15">
        <f t="shared" si="1"/>
        <v>29</v>
      </c>
      <c r="E15">
        <f t="shared" si="9"/>
        <v>0.96551724137931039</v>
      </c>
      <c r="F15">
        <f t="shared" si="10"/>
        <v>0.96551724137931039</v>
      </c>
      <c r="G15">
        <f t="shared" si="11"/>
        <v>0.31818181818181818</v>
      </c>
      <c r="H15">
        <f t="shared" si="2"/>
        <v>0.98620689655172411</v>
      </c>
      <c r="I15">
        <f t="shared" si="3"/>
        <v>0.96551724137931039</v>
      </c>
      <c r="J15">
        <f t="shared" si="4"/>
        <v>0.96551724137931039</v>
      </c>
      <c r="K15">
        <f t="shared" si="5"/>
        <v>0.86206896551724133</v>
      </c>
      <c r="L15">
        <f t="shared" si="6"/>
        <v>0.48275862068965519</v>
      </c>
      <c r="M15">
        <f t="shared" si="7"/>
        <v>0.96551724137931039</v>
      </c>
      <c r="N15">
        <f t="shared" si="8"/>
        <v>0.48275862068965519</v>
      </c>
      <c r="O15">
        <f t="shared" si="12"/>
        <v>0.79595611285266454</v>
      </c>
      <c r="P15" t="str">
        <f t="shared" si="13"/>
        <v>{"Average":0.795956112852665,"EditSimilarity":0.96551724137931,"HammingSimilarity":0.96551724137931,"JaccardIndex":0.318181818181818,"JaroWinklerSimilarity":0.986206896551724,"LevenshteinSimilarity":0.96551724137931,"LongestCommonSubsequenceSimilarity":0.96551724137931,"LongestCommonSubstringSimilarity":0.862068965517241,"OverlapCoefficient":0.482758620689655,"RatcliffObershelpSimilarity":0.96551724137931,"SorensenDiceCoefficient":0.482758620689655,"Source":"AMENDMENT_REVERSAL_SEQ_NUMBER","Target":"AMENDMENT_REVERSAL_SEQ_NUWBER"},</v>
      </c>
    </row>
    <row r="16" spans="1:16" x14ac:dyDescent="0.25">
      <c r="A16" t="s">
        <v>82</v>
      </c>
      <c r="B16" t="s">
        <v>81</v>
      </c>
      <c r="C16" t="b">
        <f t="shared" si="0"/>
        <v>0</v>
      </c>
      <c r="D16">
        <f t="shared" si="1"/>
        <v>23</v>
      </c>
      <c r="E16">
        <f t="shared" si="9"/>
        <v>0.95652173913043481</v>
      </c>
      <c r="F16">
        <f t="shared" si="10"/>
        <v>0.95652173913043481</v>
      </c>
      <c r="G16">
        <f t="shared" si="11"/>
        <v>0.58620689655172409</v>
      </c>
      <c r="H16">
        <f t="shared" si="2"/>
        <v>0.9826086956521739</v>
      </c>
      <c r="I16">
        <f t="shared" si="3"/>
        <v>0.95652173913043481</v>
      </c>
      <c r="J16">
        <f t="shared" si="4"/>
        <v>0.95652173913043481</v>
      </c>
      <c r="K16">
        <f t="shared" si="5"/>
        <v>0.78260869565217395</v>
      </c>
      <c r="L16">
        <f t="shared" si="6"/>
        <v>0.73913043478260865</v>
      </c>
      <c r="M16">
        <f t="shared" si="7"/>
        <v>0.95652173913043481</v>
      </c>
      <c r="N16">
        <f t="shared" si="8"/>
        <v>0.73913043478260865</v>
      </c>
      <c r="O16">
        <f t="shared" si="12"/>
        <v>0.86122938530734638</v>
      </c>
      <c r="P16" t="str">
        <f t="shared" si="13"/>
        <v>{"Average":0.861229385307346,"EditSimilarity":0.956521739130435,"HammingSimilarity":0.956521739130435,"JaccardIndex":0.586206896551724,"JaroWinklerSimilarity":0.982608695652174,"LevenshteinSimilarity":0.956521739130435,"LongestCommonSubsequenceSimilarity":0.956521739130435,"LongestCommonSubstringSimilarity":0.782608695652174,"OverlapCoefficient":0.739130434782609,"RatcliffObershelpSimilarity":0.956521739130435,"SorensenDiceCoefficient":0.739130434782609,"Source":"AnalyzedChargesB4Credit","Target":"AnalyzedChargesB4Cnedit"},</v>
      </c>
    </row>
    <row r="17" spans="1:16" x14ac:dyDescent="0.25">
      <c r="A17" t="s">
        <v>79</v>
      </c>
      <c r="B17" t="s">
        <v>78</v>
      </c>
      <c r="C17" t="b">
        <f t="shared" si="0"/>
        <v>0</v>
      </c>
      <c r="D17">
        <f t="shared" si="1"/>
        <v>22</v>
      </c>
      <c r="E17">
        <f t="shared" si="9"/>
        <v>0.95454545454545459</v>
      </c>
      <c r="F17">
        <f t="shared" si="10"/>
        <v>0.95454545454545459</v>
      </c>
      <c r="G17">
        <f t="shared" si="11"/>
        <v>0.375</v>
      </c>
      <c r="H17">
        <f t="shared" si="2"/>
        <v>0.98181818181818181</v>
      </c>
      <c r="I17">
        <f t="shared" si="3"/>
        <v>0.95454545454545459</v>
      </c>
      <c r="J17">
        <f t="shared" si="4"/>
        <v>0.95454545454545459</v>
      </c>
      <c r="K17">
        <f t="shared" si="5"/>
        <v>0.77272727272727271</v>
      </c>
      <c r="L17">
        <f t="shared" si="6"/>
        <v>0.54545454545454541</v>
      </c>
      <c r="M17">
        <f t="shared" si="7"/>
        <v>0.95454545454545459</v>
      </c>
      <c r="N17">
        <f t="shared" si="8"/>
        <v>0.54545454545454541</v>
      </c>
      <c r="O17">
        <f t="shared" si="12"/>
        <v>0.79931818181818193</v>
      </c>
      <c r="P17" t="str">
        <f t="shared" si="13"/>
        <v>{"Average":0.799318181818182,"EditSimilarity":0.954545454545455,"HammingSimilarity":0.954545454545455,"JaccardIndex":0.375,"JaroWinklerSimilarity":0.981818181818182,"LevenshteinSimilarity":0.954545454545455,"LongestCommonSubsequenceSimilarity":0.954545454545455,"LongestCommonSubstringSimilarity":0.772727272727273,"OverlapCoefficient":0.545454545454545,"RatcliffObershelpSimilarity":0.954545454545455,"SorensenDiceCoefficient":0.545454545454545,"Source":"ARM_MAX_LIFE_INCR_RATE","Target":"ARM_TAX_LIFE_INCR_RATE"},</v>
      </c>
    </row>
    <row r="18" spans="1:16" x14ac:dyDescent="0.25">
      <c r="A18" t="s">
        <v>177</v>
      </c>
      <c r="B18" t="s">
        <v>178</v>
      </c>
      <c r="C18" t="b">
        <f t="shared" si="0"/>
        <v>0</v>
      </c>
      <c r="D18">
        <f t="shared" si="1"/>
        <v>8</v>
      </c>
      <c r="E18">
        <f t="shared" si="9"/>
        <v>0.66666666666666674</v>
      </c>
      <c r="F18">
        <f t="shared" si="10"/>
        <v>0</v>
      </c>
      <c r="G18">
        <f t="shared" si="11"/>
        <v>0.54545454545454541</v>
      </c>
      <c r="H18">
        <f t="shared" si="2"/>
        <v>0.8833333333333333</v>
      </c>
      <c r="I18">
        <f t="shared" si="3"/>
        <v>0.66666666666666674</v>
      </c>
      <c r="J18">
        <f t="shared" si="4"/>
        <v>0.75</v>
      </c>
      <c r="K18">
        <f t="shared" si="5"/>
        <v>0.75</v>
      </c>
      <c r="L18">
        <f t="shared" si="6"/>
        <v>0.75</v>
      </c>
      <c r="M18">
        <f t="shared" si="7"/>
        <v>0.70588235294117652</v>
      </c>
      <c r="N18">
        <f t="shared" si="8"/>
        <v>0.70588235294117652</v>
      </c>
      <c r="O18">
        <f t="shared" si="12"/>
        <v>0.64238859180035657</v>
      </c>
      <c r="P18" t="str">
        <f t="shared" si="13"/>
        <v>{"Average":0.642388591800357,"EditSimilarity":0.666666666666667,"HammingSimilarity":0,"JaccardIndex":0.545454545454545,"JaroWinklerSimilarity":0.883333333333333,"LevenshteinSimilarity":0.666666666666667,"LongestCommonSubsequenceSimilarity":0.75,"LongestCommonSubstringSimilarity":0.75,"OverlapCoefficient":0.75,"RatcliffObershelpSimilarity":0.705882352941177,"SorensenDiceCoefficient":0.705882352941177,"Source":"beauties","Target":"beautiful"},</v>
      </c>
    </row>
    <row r="19" spans="1:16" x14ac:dyDescent="0.25">
      <c r="A19" t="s">
        <v>123</v>
      </c>
      <c r="B19" t="s">
        <v>122</v>
      </c>
      <c r="C19" t="b">
        <f t="shared" si="0"/>
        <v>0</v>
      </c>
      <c r="D19">
        <f t="shared" si="1"/>
        <v>31</v>
      </c>
      <c r="E19">
        <f t="shared" si="9"/>
        <v>0.967741935483871</v>
      </c>
      <c r="F19">
        <f t="shared" si="10"/>
        <v>0.967741935483871</v>
      </c>
      <c r="G19">
        <f t="shared" si="11"/>
        <v>0.40909090909090912</v>
      </c>
      <c r="H19">
        <f t="shared" si="2"/>
        <v>0.97376344086021505</v>
      </c>
      <c r="I19">
        <f t="shared" si="3"/>
        <v>0.967741935483871</v>
      </c>
      <c r="J19">
        <f t="shared" si="4"/>
        <v>0.967741935483871</v>
      </c>
      <c r="K19">
        <f t="shared" si="5"/>
        <v>0.54838709677419351</v>
      </c>
      <c r="L19">
        <f t="shared" si="6"/>
        <v>0.58064516129032262</v>
      </c>
      <c r="M19">
        <f t="shared" si="7"/>
        <v>0.967741935483871</v>
      </c>
      <c r="N19">
        <f t="shared" si="8"/>
        <v>0.58064516129032262</v>
      </c>
      <c r="O19">
        <f t="shared" si="12"/>
        <v>0.79312414467253189</v>
      </c>
      <c r="P19" t="str">
        <f t="shared" si="13"/>
        <v>{"Average":0.793124144672532,"EditSimilarity":0.967741935483871,"HammingSimilarity":0.967741935483871,"JaccardIndex":0.409090909090909,"JaroWinklerSimilarity":0.973763440860215,"LevenshteinSimilarity":0.967741935483871,"LongestCommonSubsequenceSimilarity":0.967741935483871,"LongestCommonSubstringSimilarity":0.548387096774194,"OverlapCoefficient":0.580645161290323,"RatcliffObershelpSimilarity":0.967741935483871,"SorensenDiceCoefficient":0.580645161290323,"Source":"BI105_PC_QUOTE_DTE_LST_ADD_OR_D","Target":"BI105_PC_QUOTS_DTE_LST_ADD_OR_D"},</v>
      </c>
    </row>
    <row r="20" spans="1:16" x14ac:dyDescent="0.25">
      <c r="A20" t="s">
        <v>127</v>
      </c>
      <c r="B20" t="s">
        <v>127</v>
      </c>
      <c r="C20" t="b">
        <f t="shared" si="0"/>
        <v>1</v>
      </c>
      <c r="D20">
        <f t="shared" si="1"/>
        <v>32</v>
      </c>
      <c r="E20">
        <f t="shared" si="9"/>
        <v>1</v>
      </c>
      <c r="F20">
        <f t="shared" si="10"/>
        <v>1</v>
      </c>
      <c r="G20">
        <f t="shared" si="11"/>
        <v>1</v>
      </c>
      <c r="H20">
        <f t="shared" si="2"/>
        <v>1</v>
      </c>
      <c r="I20">
        <f t="shared" si="3"/>
        <v>1</v>
      </c>
      <c r="J20">
        <f t="shared" si="4"/>
        <v>1</v>
      </c>
      <c r="K20">
        <f t="shared" si="5"/>
        <v>1</v>
      </c>
      <c r="L20">
        <f t="shared" si="6"/>
        <v>1</v>
      </c>
      <c r="M20">
        <f t="shared" si="7"/>
        <v>1</v>
      </c>
      <c r="N20">
        <f t="shared" si="8"/>
        <v>1</v>
      </c>
      <c r="O20">
        <f t="shared" si="12"/>
        <v>1</v>
      </c>
      <c r="P20" t="str">
        <f t="shared" si="13"/>
        <v>{"Average":1,"EditSimilarity":1,"HammingSimilarity":1,"JaccardIndex":1,"JaroWinklerSimilarity":1,"LevenshteinSimilarity":1,"LongestCommonSubsequenceSimilarity":1,"LongestCommonSubstringSimilarity":1,"OverlapCoefficient":1,"RatcliffObershelpSimilarity":1,"SorensenDiceCoefficient":1,"Source":"BI84_INVESTMENT_MGMT_ADVISOR_BRN","Target":"BI84_INVESTMENT_MGMT_ADVISOR_BRN"},</v>
      </c>
    </row>
    <row r="21" spans="1:16" x14ac:dyDescent="0.25">
      <c r="A21" t="s">
        <v>67</v>
      </c>
      <c r="B21" t="s">
        <v>67</v>
      </c>
      <c r="C21" t="b">
        <f t="shared" si="0"/>
        <v>1</v>
      </c>
      <c r="D21">
        <f t="shared" si="1"/>
        <v>20</v>
      </c>
      <c r="E21">
        <f t="shared" si="9"/>
        <v>1</v>
      </c>
      <c r="F21">
        <f t="shared" si="10"/>
        <v>1</v>
      </c>
      <c r="G21">
        <f t="shared" si="11"/>
        <v>1</v>
      </c>
      <c r="H21">
        <f t="shared" si="2"/>
        <v>1</v>
      </c>
      <c r="I21">
        <f t="shared" si="3"/>
        <v>1</v>
      </c>
      <c r="J21">
        <f t="shared" si="4"/>
        <v>1</v>
      </c>
      <c r="K21">
        <f t="shared" si="5"/>
        <v>1</v>
      </c>
      <c r="L21">
        <f t="shared" si="6"/>
        <v>1</v>
      </c>
      <c r="M21">
        <f t="shared" si="7"/>
        <v>1</v>
      </c>
      <c r="N21">
        <f t="shared" si="8"/>
        <v>1</v>
      </c>
      <c r="O21">
        <f t="shared" si="12"/>
        <v>1</v>
      </c>
      <c r="P21" t="str">
        <f t="shared" si="13"/>
        <v>{"Average":1,"EditSimilarity":1,"HammingSimilarity":1,"JaccardIndex":1,"JaroWinklerSimilarity":1,"LevenshteinSimilarity":1,"LongestCommonSubsequenceSimilarity":1,"LongestCommonSubstringSimilarity":1,"OverlapCoefficient":1,"RatcliffObershelpSimilarity":1,"SorensenDiceCoefficient":1,"Source":"borr_2_employer_name","Target":"borr_2_employer_name"},</v>
      </c>
    </row>
    <row r="22" spans="1:16" x14ac:dyDescent="0.25">
      <c r="A22" t="s">
        <v>150</v>
      </c>
      <c r="B22" t="s">
        <v>149</v>
      </c>
      <c r="C22" t="b">
        <f t="shared" si="0"/>
        <v>0</v>
      </c>
      <c r="D22">
        <f t="shared" si="1"/>
        <v>59</v>
      </c>
      <c r="E22">
        <f t="shared" si="9"/>
        <v>0.98305084745762716</v>
      </c>
      <c r="F22">
        <f t="shared" si="10"/>
        <v>0.98305084745762716</v>
      </c>
      <c r="G22">
        <f t="shared" si="11"/>
        <v>0.22916666666666666</v>
      </c>
      <c r="H22">
        <f t="shared" si="2"/>
        <v>0.94666861484511977</v>
      </c>
      <c r="I22">
        <f t="shared" si="3"/>
        <v>0.98305084745762716</v>
      </c>
      <c r="J22">
        <f t="shared" si="4"/>
        <v>0.98305084745762716</v>
      </c>
      <c r="K22">
        <f t="shared" si="5"/>
        <v>0.52542372881355937</v>
      </c>
      <c r="L22">
        <f t="shared" si="6"/>
        <v>0.3728813559322034</v>
      </c>
      <c r="M22">
        <f t="shared" si="7"/>
        <v>0.98305084745762716</v>
      </c>
      <c r="N22">
        <f t="shared" si="8"/>
        <v>0.3728813559322034</v>
      </c>
      <c r="O22">
        <f t="shared" si="12"/>
        <v>0.73622759594778886</v>
      </c>
      <c r="P22" t="str">
        <f t="shared" si="13"/>
        <v>{"Average":0.736227595947789,"EditSimilarity":0.983050847457627,"HammingSimilarity":0.983050847457627,"JaccardIndex":0.229166666666667,"JaroWinklerSimilarity":0.94666861484512,"LevenshteinSimilarity":0.983050847457627,"LongestCommonSubsequenceSimilarity":0.983050847457627,"LongestCommonSubstringSimilarity":0.525423728813559,"OverlapCoefficient":0.372881355932203,"RatcliffObershelpSimilarity":0.983050847457627,"SorensenDiceCoefficient":0.372881355932203,"Source":"Borrower Ethnicity - I do not wish to provide this informat","Target":"Borrower Ethnicity - I do n0t wish to provide this informat"},</v>
      </c>
    </row>
    <row r="23" spans="1:16" x14ac:dyDescent="0.25">
      <c r="A23" t="s">
        <v>148</v>
      </c>
      <c r="B23" t="s">
        <v>148</v>
      </c>
      <c r="C23" t="b">
        <f t="shared" si="0"/>
        <v>1</v>
      </c>
      <c r="D23">
        <f t="shared" si="1"/>
        <v>57</v>
      </c>
      <c r="E23">
        <f t="shared" si="9"/>
        <v>1</v>
      </c>
      <c r="F23">
        <f t="shared" si="10"/>
        <v>1</v>
      </c>
      <c r="G23">
        <f t="shared" si="11"/>
        <v>1</v>
      </c>
      <c r="H23">
        <f t="shared" si="2"/>
        <v>1</v>
      </c>
      <c r="I23">
        <f t="shared" si="3"/>
        <v>1</v>
      </c>
      <c r="J23">
        <f t="shared" si="4"/>
        <v>1</v>
      </c>
      <c r="K23">
        <f t="shared" si="5"/>
        <v>1</v>
      </c>
      <c r="L23">
        <f t="shared" si="6"/>
        <v>1</v>
      </c>
      <c r="M23">
        <f t="shared" si="7"/>
        <v>1</v>
      </c>
      <c r="N23">
        <f t="shared" si="8"/>
        <v>1</v>
      </c>
      <c r="O23">
        <f t="shared" si="12"/>
        <v>1</v>
      </c>
      <c r="P23" t="str">
        <f t="shared" si="13"/>
        <v>{"Average":1,"EditSimilarity":1,"HammingSimilarity":1,"JaccardIndex":1,"JaroWinklerSimilarity":1,"LevenshteinSimilarity":1,"LongestCommonSubsequenceSimilarity":1,"LongestCommonSubstringSimilarity":1,"OverlapCoefficient":1,"RatcliffObershelpSimilarity":1,"SorensenDiceCoefficient":1,"Source":"Borrower Race - Native Hawaiian or Other Pacific Islander","Target":"Borrower Race - Native Hawaiian or Other Pacific Islander"},</v>
      </c>
    </row>
    <row r="24" spans="1:16" x14ac:dyDescent="0.25">
      <c r="A24" t="s">
        <v>74</v>
      </c>
      <c r="B24" t="s">
        <v>73</v>
      </c>
      <c r="C24" t="b">
        <f t="shared" si="0"/>
        <v>0</v>
      </c>
      <c r="D24">
        <f t="shared" si="1"/>
        <v>21</v>
      </c>
      <c r="E24">
        <f t="shared" si="9"/>
        <v>0.95238095238095233</v>
      </c>
      <c r="F24">
        <f t="shared" si="10"/>
        <v>0.95238095238095233</v>
      </c>
      <c r="G24">
        <f t="shared" si="11"/>
        <v>0.4</v>
      </c>
      <c r="H24">
        <f t="shared" si="2"/>
        <v>0.98095238095238091</v>
      </c>
      <c r="I24">
        <f t="shared" si="3"/>
        <v>0.95238095238095233</v>
      </c>
      <c r="J24">
        <f t="shared" si="4"/>
        <v>0.95238095238095233</v>
      </c>
      <c r="K24">
        <f t="shared" si="5"/>
        <v>0.7142857142857143</v>
      </c>
      <c r="L24">
        <f t="shared" si="6"/>
        <v>0.5714285714285714</v>
      </c>
      <c r="M24">
        <f t="shared" si="7"/>
        <v>0.95238095238095233</v>
      </c>
      <c r="N24">
        <f t="shared" si="8"/>
        <v>0.5714285714285714</v>
      </c>
      <c r="O24">
        <f t="shared" si="12"/>
        <v>0.8</v>
      </c>
      <c r="P24" t="str">
        <f t="shared" si="13"/>
        <v>{"Average":0.8,"EditSimilarity":0.952380952380952,"HammingSimilarity":0.952380952380952,"JaccardIndex":0.4,"JaroWinklerSimilarity":0.980952380952381,"LevenshteinSimilarity":0.952380952380952,"LongestCommonSubsequenceSimilarity":0.952380952380952,"LongestCommonSubstringSimilarity":0.714285714285714,"OverlapCoefficient":0.571428571428571,"RatcliffObershelpSimilarity":0.952380952380952,"SorensenDiceCoefficient":0.571428571428571,"Source":"Borrower Sex - Female","Target":"Borrower Sex - Yemale"},</v>
      </c>
    </row>
    <row r="25" spans="1:16" x14ac:dyDescent="0.25">
      <c r="A25" t="s">
        <v>116</v>
      </c>
      <c r="B25" t="s">
        <v>116</v>
      </c>
      <c r="C25" t="b">
        <f t="shared" si="0"/>
        <v>1</v>
      </c>
      <c r="D25">
        <f t="shared" si="1"/>
        <v>29</v>
      </c>
      <c r="E25">
        <f t="shared" si="9"/>
        <v>1</v>
      </c>
      <c r="F25">
        <f t="shared" si="10"/>
        <v>1</v>
      </c>
      <c r="G25">
        <f t="shared" si="11"/>
        <v>1</v>
      </c>
      <c r="H25">
        <f t="shared" si="2"/>
        <v>1</v>
      </c>
      <c r="I25">
        <f t="shared" si="3"/>
        <v>1</v>
      </c>
      <c r="J25">
        <f t="shared" si="4"/>
        <v>1</v>
      </c>
      <c r="K25">
        <f t="shared" si="5"/>
        <v>1</v>
      </c>
      <c r="L25">
        <f t="shared" si="6"/>
        <v>1</v>
      </c>
      <c r="M25">
        <f t="shared" si="7"/>
        <v>1</v>
      </c>
      <c r="N25">
        <f t="shared" si="8"/>
        <v>1</v>
      </c>
      <c r="O25">
        <f t="shared" si="12"/>
        <v>1</v>
      </c>
      <c r="P25" t="str">
        <f t="shared" si="13"/>
        <v>{"Average":1,"EditSimilarity":1,"HammingSimilarity":1,"JaccardIndex":1,"JaroWinklerSimilarity":1,"LevenshteinSimilarity":1,"LongestCommonSubsequenceSimilarity":1,"LongestCommonSubstringSimilarity":1,"OverlapCoefficient":1,"RatcliffObershelpSimilarity":1,"SorensenDiceCoefficient":1,"Source":"CALCULATED_DISTRIBUTED_AMOUNT","Target":"CALCULATED_DISTRIBUTED_AMOUNT"},</v>
      </c>
    </row>
    <row r="26" spans="1:16" x14ac:dyDescent="0.25">
      <c r="A26" t="s">
        <v>13</v>
      </c>
      <c r="B26" t="s">
        <v>12</v>
      </c>
      <c r="C26" t="b">
        <f t="shared" si="0"/>
        <v>0</v>
      </c>
      <c r="D26">
        <f t="shared" si="1"/>
        <v>6</v>
      </c>
      <c r="E26">
        <f t="shared" si="9"/>
        <v>0.83333333333333337</v>
      </c>
      <c r="F26">
        <f t="shared" si="10"/>
        <v>0.83333333333333337</v>
      </c>
      <c r="G26">
        <f t="shared" si="11"/>
        <v>0.7142857142857143</v>
      </c>
      <c r="H26">
        <f t="shared" si="2"/>
        <v>0.93333333333333335</v>
      </c>
      <c r="I26">
        <f t="shared" si="3"/>
        <v>0.83333333333333337</v>
      </c>
      <c r="J26">
        <f t="shared" si="4"/>
        <v>0.83333333333333337</v>
      </c>
      <c r="K26">
        <f t="shared" si="5"/>
        <v>0.83333333333333337</v>
      </c>
      <c r="L26">
        <f t="shared" si="6"/>
        <v>0.83333333333333337</v>
      </c>
      <c r="M26">
        <f t="shared" si="7"/>
        <v>0.83333333333333337</v>
      </c>
      <c r="N26">
        <f t="shared" si="8"/>
        <v>0.83333333333333337</v>
      </c>
      <c r="O26">
        <f t="shared" si="12"/>
        <v>0.83142857142857129</v>
      </c>
      <c r="P26" t="str">
        <f t="shared" si="13"/>
        <v>{"Average":0.831428571428571,"EditSimilarity":0.833333333333333,"HammingSimilarity":0.833333333333333,"JaccardIndex":0.714285714285714,"JaroWinklerSimilarity":0.933333333333333,"LevenshteinSimilarity":0.833333333333333,"LongestCommonSubsequenceSimilarity":0.833333333333333,"LongestCommonSubstringSimilarity":0.833333333333333,"OverlapCoefficient":0.833333333333333,"RatcliffObershelpSimilarity":0.833333333333333,"SorensenDiceCoefficient":0.833333333333333,"Source":"cal-id","Target":"cal-iz"},</v>
      </c>
    </row>
    <row r="27" spans="1:16" x14ac:dyDescent="0.25">
      <c r="A27" t="s">
        <v>11</v>
      </c>
      <c r="B27" t="s">
        <v>10</v>
      </c>
      <c r="C27" t="b">
        <f t="shared" si="0"/>
        <v>0</v>
      </c>
      <c r="D27">
        <f t="shared" si="1"/>
        <v>5</v>
      </c>
      <c r="E27">
        <f t="shared" si="9"/>
        <v>0.8</v>
      </c>
      <c r="F27">
        <f t="shared" si="10"/>
        <v>0.8</v>
      </c>
      <c r="G27">
        <f t="shared" si="11"/>
        <v>0.66666666666666663</v>
      </c>
      <c r="H27">
        <f t="shared" si="2"/>
        <v>0.90666666666666673</v>
      </c>
      <c r="I27">
        <f t="shared" si="3"/>
        <v>0.8</v>
      </c>
      <c r="J27">
        <f t="shared" si="4"/>
        <v>0.8</v>
      </c>
      <c r="K27">
        <f t="shared" si="5"/>
        <v>0.4</v>
      </c>
      <c r="L27">
        <f t="shared" si="6"/>
        <v>0.8</v>
      </c>
      <c r="M27">
        <f t="shared" si="7"/>
        <v>0.8</v>
      </c>
      <c r="N27">
        <f t="shared" si="8"/>
        <v>0.8</v>
      </c>
      <c r="O27">
        <f t="shared" si="12"/>
        <v>0.7573333333333333</v>
      </c>
      <c r="P27" t="str">
        <f t="shared" si="13"/>
        <v>{"Average":0.757333333333333,"EditSimilarity":0.8,"HammingSimilarity":0.8,"JaccardIndex":0.666666666666667,"JaroWinklerSimilarity":0.906666666666667,"LevenshteinSimilarity":0.8,"LongestCommonSubsequenceSimilarity":0.8,"LongestCommonSubstringSimilarity":0.4,"OverlapCoefficient":0.8,"RatcliffObershelpSimilarity":0.8,"SorensenDiceCoefficient":0.8,"Source":"CFOBR","Target":"CFHBR"},</v>
      </c>
    </row>
    <row r="28" spans="1:16" x14ac:dyDescent="0.25">
      <c r="A28" t="s">
        <v>37</v>
      </c>
      <c r="B28" t="s">
        <v>36</v>
      </c>
      <c r="C28" t="b">
        <f t="shared" si="0"/>
        <v>0</v>
      </c>
      <c r="D28">
        <f t="shared" si="1"/>
        <v>15</v>
      </c>
      <c r="E28">
        <f t="shared" si="9"/>
        <v>0.93333333333333335</v>
      </c>
      <c r="F28">
        <f t="shared" si="10"/>
        <v>0.93333333333333335</v>
      </c>
      <c r="G28">
        <f t="shared" si="11"/>
        <v>0.5</v>
      </c>
      <c r="H28">
        <f t="shared" si="2"/>
        <v>0.97333333333333338</v>
      </c>
      <c r="I28">
        <f t="shared" si="3"/>
        <v>0.93333333333333335</v>
      </c>
      <c r="J28">
        <f t="shared" si="4"/>
        <v>0.93333333333333335</v>
      </c>
      <c r="K28">
        <f t="shared" si="5"/>
        <v>0.93333333333333335</v>
      </c>
      <c r="L28">
        <f t="shared" si="6"/>
        <v>0.66666666666666663</v>
      </c>
      <c r="M28">
        <f t="shared" si="7"/>
        <v>0.93333333333333335</v>
      </c>
      <c r="N28">
        <f t="shared" si="8"/>
        <v>0.66666666666666663</v>
      </c>
      <c r="O28">
        <f t="shared" si="12"/>
        <v>0.84066666666666678</v>
      </c>
      <c r="P28" t="str">
        <f t="shared" si="13"/>
        <v>{"Average":0.840666666666667,"EditSimilarity":0.933333333333333,"HammingSimilarity":0.933333333333333,"JaccardIndex":0.5,"JaroWinklerSimilarity":0.973333333333333,"LevenshteinSimilarity":0.933333333333333,"LongestCommonSubsequenceSimilarity":0.933333333333333,"LongestCommonSubstringSimilarity":0.933333333333333,"OverlapCoefficient":0.666666666666667,"RatcliffObershelpSimilarity":0.933333333333333,"SorensenDiceCoefficient":0.666666666666667,"Source":"CM1_NET_P_AND_1","Target":"CM1_NET_P_AND_I"},</v>
      </c>
    </row>
    <row r="29" spans="1:16" x14ac:dyDescent="0.25">
      <c r="A29" t="s">
        <v>59</v>
      </c>
      <c r="B29" t="s">
        <v>58</v>
      </c>
      <c r="C29" t="b">
        <f t="shared" si="0"/>
        <v>0</v>
      </c>
      <c r="D29">
        <f t="shared" si="1"/>
        <v>20</v>
      </c>
      <c r="E29">
        <f t="shared" si="9"/>
        <v>0.5</v>
      </c>
      <c r="F29">
        <f t="shared" si="10"/>
        <v>0</v>
      </c>
      <c r="G29">
        <f t="shared" si="11"/>
        <v>0.44444444444444442</v>
      </c>
      <c r="H29">
        <f t="shared" si="2"/>
        <v>0.99</v>
      </c>
      <c r="I29">
        <f t="shared" si="3"/>
        <v>0.95</v>
      </c>
      <c r="J29">
        <f t="shared" si="4"/>
        <v>1</v>
      </c>
      <c r="K29">
        <f t="shared" si="5"/>
        <v>0.52631578947368418</v>
      </c>
      <c r="L29">
        <f t="shared" si="6"/>
        <v>0.63157894736842102</v>
      </c>
      <c r="M29">
        <f t="shared" si="7"/>
        <v>0.97435897435897434</v>
      </c>
      <c r="N29">
        <f t="shared" si="8"/>
        <v>0.61538461538461542</v>
      </c>
      <c r="O29">
        <f t="shared" si="12"/>
        <v>0.663208277103014</v>
      </c>
      <c r="P29" t="str">
        <f t="shared" si="13"/>
        <v>{"Average":0.663208277103014,"EditSimilarity":0.5,"HammingSimilarity":0,"JaccardIndex":0.444444444444444,"JaroWinklerSimilarity":0.99,"LevenshteinSimilarity":0.95,"LongestCommonSubsequenceSimilarity":1,"LongestCommonSubstringSimilarity":0.526315789473684,"OverlapCoefficient":0.631578947368421,"RatcliffObershelpSimilarity":0.974358974358974,"SorensenDiceCoefficient":0.615384615384615,"Source":"Commitment Tolerance","Target":"CommitmentTolerance"},</v>
      </c>
    </row>
    <row r="30" spans="1:16" x14ac:dyDescent="0.25">
      <c r="A30" t="s">
        <v>121</v>
      </c>
      <c r="B30" t="s">
        <v>121</v>
      </c>
      <c r="C30" t="b">
        <f t="shared" si="0"/>
        <v>1</v>
      </c>
      <c r="D30">
        <f t="shared" si="1"/>
        <v>30</v>
      </c>
      <c r="E30">
        <f t="shared" si="9"/>
        <v>1</v>
      </c>
      <c r="F30">
        <f t="shared" si="10"/>
        <v>1</v>
      </c>
      <c r="G30">
        <f t="shared" si="11"/>
        <v>1</v>
      </c>
      <c r="H30">
        <f t="shared" si="2"/>
        <v>1</v>
      </c>
      <c r="I30">
        <f t="shared" si="3"/>
        <v>1</v>
      </c>
      <c r="J30">
        <f t="shared" si="4"/>
        <v>1</v>
      </c>
      <c r="K30">
        <f t="shared" si="5"/>
        <v>1</v>
      </c>
      <c r="L30">
        <f t="shared" si="6"/>
        <v>1</v>
      </c>
      <c r="M30">
        <f t="shared" si="7"/>
        <v>1</v>
      </c>
      <c r="N30">
        <f t="shared" si="8"/>
        <v>1</v>
      </c>
      <c r="O30">
        <f t="shared" si="12"/>
        <v>1</v>
      </c>
      <c r="P30" t="str">
        <f t="shared" si="13"/>
        <v>{"Average":1,"EditSimilarity":1,"HammingSimilarity":1,"JaccardIndex":1,"JaroWinklerSimilarity":1,"LevenshteinSimilarity":1,"LongestCommonSubsequenceSimilarity":1,"LongestCommonSubstringSimilarity":1,"OverlapCoefficient":1,"RatcliffObershelpSimilarity":1,"SorensenDiceCoefficient":1,"Source":"CONSOL_FEE_TRANS_ON_CS1_TO_CS7","Target":"CONSOL_FEE_TRANS_ON_CS1_TO_CS7"},</v>
      </c>
    </row>
    <row r="31" spans="1:16" x14ac:dyDescent="0.25">
      <c r="A31" t="s">
        <v>105</v>
      </c>
      <c r="B31" t="s">
        <v>104</v>
      </c>
      <c r="C31" t="b">
        <f t="shared" si="0"/>
        <v>0</v>
      </c>
      <c r="D31">
        <f t="shared" si="1"/>
        <v>27</v>
      </c>
      <c r="E31">
        <f t="shared" si="9"/>
        <v>0.96296296296296302</v>
      </c>
      <c r="F31">
        <f t="shared" si="10"/>
        <v>0.96296296296296291</v>
      </c>
      <c r="G31">
        <f t="shared" si="11"/>
        <v>0.2857142857142857</v>
      </c>
      <c r="H31">
        <f t="shared" si="2"/>
        <v>0.98518518518518516</v>
      </c>
      <c r="I31">
        <f t="shared" si="3"/>
        <v>0.96296296296296302</v>
      </c>
      <c r="J31">
        <f t="shared" si="4"/>
        <v>0.96296296296296291</v>
      </c>
      <c r="K31">
        <f t="shared" si="5"/>
        <v>0.66666666666666663</v>
      </c>
      <c r="L31">
        <f t="shared" si="6"/>
        <v>0.44444444444444442</v>
      </c>
      <c r="M31">
        <f t="shared" si="7"/>
        <v>0.96296296296296291</v>
      </c>
      <c r="N31">
        <f t="shared" si="8"/>
        <v>0.44444444444444442</v>
      </c>
      <c r="O31">
        <f t="shared" si="12"/>
        <v>0.76412698412698421</v>
      </c>
      <c r="P31" t="str">
        <f t="shared" si="13"/>
        <v>{"Average":0.764126984126984,"EditSimilarity":0.962962962962963,"HammingSimilarity":0.962962962962963,"JaccardIndex":0.285714285714286,"JaroWinklerSimilarity":0.985185185185185,"LevenshteinSimilarity":0.962962962962963,"LongestCommonSubsequenceSimilarity":0.962962962962963,"LongestCommonSubstringSimilarity":0.666666666666667,"OverlapCoefficient":0.444444444444444,"RatcliffObershelpSimilarity":0.962962962962963,"SorensenDiceCoefficient":0.444444444444444,"Source":"contract_ltd_paid_princ_amt","Target":"contract_ltd_paid_srinc_amt"},</v>
      </c>
    </row>
    <row r="32" spans="1:16" x14ac:dyDescent="0.25">
      <c r="A32" t="s">
        <v>95</v>
      </c>
      <c r="B32" t="s">
        <v>94</v>
      </c>
      <c r="C32" t="b">
        <f t="shared" si="0"/>
        <v>0</v>
      </c>
      <c r="D32">
        <f t="shared" si="1"/>
        <v>25</v>
      </c>
      <c r="E32">
        <f t="shared" si="9"/>
        <v>0.96</v>
      </c>
      <c r="F32">
        <f t="shared" si="10"/>
        <v>0.96</v>
      </c>
      <c r="G32">
        <f t="shared" si="11"/>
        <v>0.31578947368421051</v>
      </c>
      <c r="H32">
        <f t="shared" si="2"/>
        <v>0.91316666666666668</v>
      </c>
      <c r="I32">
        <f t="shared" si="3"/>
        <v>0.96</v>
      </c>
      <c r="J32">
        <f t="shared" si="4"/>
        <v>0.96</v>
      </c>
      <c r="K32">
        <f t="shared" si="5"/>
        <v>0.76</v>
      </c>
      <c r="L32">
        <f t="shared" si="6"/>
        <v>0.48</v>
      </c>
      <c r="M32">
        <f t="shared" si="7"/>
        <v>0.96</v>
      </c>
      <c r="N32">
        <f t="shared" si="8"/>
        <v>0.48</v>
      </c>
      <c r="O32">
        <f t="shared" si="12"/>
        <v>0.77489561403508755</v>
      </c>
      <c r="P32" t="str">
        <f t="shared" si="13"/>
        <v>{"Average":0.774895614035088,"EditSimilarity":0.96,"HammingSimilarity":0.96,"JaccardIndex":0.315789473684211,"JaroWinklerSimilarity":0.913166666666667,"LevenshteinSimilarity":0.96,"LongestCommonSubsequenceSimilarity":0.96,"LongestCommonSubstringSimilarity":0.76,"OverlapCoefficient":0.48,"RatcliffObershelpSimilarity":0.96,"SorensenDiceCoefficient":0.48,"Source":"contract_ytd_paid_int_amt","Target":"contrkct_ytd_paid_int_amt"},</v>
      </c>
    </row>
    <row r="33" spans="1:16" x14ac:dyDescent="0.25">
      <c r="A33" t="s">
        <v>21</v>
      </c>
      <c r="B33" t="s">
        <v>20</v>
      </c>
      <c r="C33" t="b">
        <f t="shared" si="0"/>
        <v>0</v>
      </c>
      <c r="D33">
        <f t="shared" si="1"/>
        <v>8</v>
      </c>
      <c r="E33">
        <f t="shared" si="9"/>
        <v>0</v>
      </c>
      <c r="F33">
        <f t="shared" si="10"/>
        <v>0</v>
      </c>
      <c r="G33">
        <f t="shared" si="11"/>
        <v>0.5</v>
      </c>
      <c r="H33">
        <f t="shared" si="2"/>
        <v>0.93333333333333335</v>
      </c>
      <c r="I33">
        <f t="shared" si="3"/>
        <v>0.8</v>
      </c>
      <c r="J33">
        <f t="shared" si="4"/>
        <v>1</v>
      </c>
      <c r="K33">
        <f t="shared" si="5"/>
        <v>1</v>
      </c>
      <c r="L33">
        <f t="shared" si="6"/>
        <v>0.75</v>
      </c>
      <c r="M33">
        <f t="shared" si="7"/>
        <v>0.88888888888888884</v>
      </c>
      <c r="N33">
        <f t="shared" si="8"/>
        <v>0.66666666666666663</v>
      </c>
      <c r="O33">
        <f t="shared" si="12"/>
        <v>0.65388888888888885</v>
      </c>
      <c r="P33" t="str">
        <f t="shared" si="13"/>
        <v>{"Average":0.653888888888889,"EditSimilarity":0,"HammingSimilarity":0,"JaccardIndex":0.5,"JaroWinklerSimilarity":0.933333333333333,"LevenshteinSimilarity":0.8,"LongestCommonSubsequenceSimilarity":1,"LongestCommonSubstringSimilarity":1,"OverlapCoefficient":0.75,"RatcliffObershelpSimilarity":0.888888888888889,"SorensenDiceCoefficient":0.666666666666667,"Source":"CUIDCPDT","Target":"[CUIDCPDT]"},</v>
      </c>
    </row>
    <row r="34" spans="1:16" x14ac:dyDescent="0.25">
      <c r="A34" t="s">
        <v>136</v>
      </c>
      <c r="B34" t="s">
        <v>135</v>
      </c>
      <c r="C34" t="b">
        <f t="shared" ref="C34:C65" si="14">EXACT(A34,B34)</f>
        <v>0</v>
      </c>
      <c r="D34">
        <f t="shared" ref="D34:D65" si="15">LEN(A34)</f>
        <v>37</v>
      </c>
      <c r="E34">
        <f t="shared" si="9"/>
        <v>0.60526315789473684</v>
      </c>
      <c r="F34">
        <f t="shared" si="10"/>
        <v>0</v>
      </c>
      <c r="G34">
        <f t="shared" si="11"/>
        <v>0.2711864406779661</v>
      </c>
      <c r="H34">
        <f t="shared" ref="H34:H64" si="16">JaroWinklerSimilarity(A34, B34)</f>
        <v>0.97041251778093884</v>
      </c>
      <c r="I34">
        <f t="shared" ref="I34:I64" si="17">LevenshteinSimilarity(A34, B34)</f>
        <v>0.97368421052631582</v>
      </c>
      <c r="J34">
        <f t="shared" ref="J34:J64" si="18">LongestCommonSubsequenceSimilarity(A34, B34)</f>
        <v>1</v>
      </c>
      <c r="K34">
        <f t="shared" ref="K34:K64" si="19">LongestCommonSubstringSimilarity(A34, B34)</f>
        <v>0.6216216216216216</v>
      </c>
      <c r="L34">
        <f t="shared" ref="L34:L64" si="20">OverlapCoefficient(A34, B34)</f>
        <v>0.43243243243243246</v>
      </c>
      <c r="M34">
        <f t="shared" ref="M34:M64" si="21">RatcliffObershelpSimilarity(A34, B34)</f>
        <v>0.98666666666666669</v>
      </c>
      <c r="N34">
        <f t="shared" ref="N34:N64" si="22">SorensenDiceCoefficient(A34, B34)</f>
        <v>0.42666666666666669</v>
      </c>
      <c r="O34">
        <f t="shared" si="12"/>
        <v>0.62879337142673442</v>
      </c>
      <c r="P34" t="str">
        <f t="shared" si="13"/>
        <v>{"Average":0.628793371426734,"EditSimilarity":0.605263157894737,"HammingSimilarity":0,"JaccardIndex":0.271186440677966,"JaroWinklerSimilarity":0.970412517780939,"LevenshteinSimilarity":0.973684210526316,"LongestCommonSubsequenceSimilarity":1,"LongestCommonSubstringSimilarity":0.621621621621622,"OverlapCoefficient":0.432432432432432,"RatcliffObershelpSimilarity":0.986666666666667,"SorensenDiceCoefficient":0.426666666666667,"Source":"customer_business_indivdual_indicator","Target":"customer_business_individual_indicator"},</v>
      </c>
    </row>
    <row r="35" spans="1:16" x14ac:dyDescent="0.25">
      <c r="A35" t="s">
        <v>9</v>
      </c>
      <c r="B35" t="s">
        <v>8</v>
      </c>
      <c r="C35" t="b">
        <f t="shared" si="14"/>
        <v>0</v>
      </c>
      <c r="D35">
        <f t="shared" si="15"/>
        <v>1</v>
      </c>
      <c r="E35">
        <f t="shared" si="9"/>
        <v>0</v>
      </c>
      <c r="F35">
        <f t="shared" si="10"/>
        <v>0</v>
      </c>
      <c r="G35">
        <f t="shared" si="11"/>
        <v>0</v>
      </c>
      <c r="H35">
        <f t="shared" si="16"/>
        <v>0</v>
      </c>
      <c r="I35">
        <f t="shared" si="17"/>
        <v>0</v>
      </c>
      <c r="J35">
        <f t="shared" si="18"/>
        <v>0</v>
      </c>
      <c r="K35">
        <f t="shared" si="19"/>
        <v>0</v>
      </c>
      <c r="L35">
        <f t="shared" si="20"/>
        <v>0</v>
      </c>
      <c r="M35">
        <f t="shared" si="21"/>
        <v>0</v>
      </c>
      <c r="N35">
        <f t="shared" si="22"/>
        <v>0</v>
      </c>
      <c r="O35">
        <f t="shared" si="12"/>
        <v>0</v>
      </c>
      <c r="P35" t="str">
        <f t="shared" si="13"/>
        <v>{"Average":0,"EditSimilarity":0,"HammingSimilarity":0,"JaccardIndex":0,"JaroWinklerSimilarity":0,"LevenshteinSimilarity":0,"LongestCommonSubsequenceSimilarity":0,"LongestCommonSubstringSimilarity":0,"OverlapCoefficient":0,"RatcliffObershelpSimilarity":0,"SorensenDiceCoefficient":0,"Source":"d","Target":"UNITN"},</v>
      </c>
    </row>
    <row r="36" spans="1:16" x14ac:dyDescent="0.25">
      <c r="A36" t="s">
        <v>32</v>
      </c>
      <c r="B36" t="s">
        <v>31</v>
      </c>
      <c r="C36" t="b">
        <f t="shared" si="14"/>
        <v>0</v>
      </c>
      <c r="D36">
        <f t="shared" si="15"/>
        <v>13</v>
      </c>
      <c r="E36">
        <f t="shared" si="9"/>
        <v>0.69230769230769229</v>
      </c>
      <c r="F36">
        <f t="shared" si="10"/>
        <v>0</v>
      </c>
      <c r="G36">
        <f t="shared" si="11"/>
        <v>0.5625</v>
      </c>
      <c r="H36">
        <f t="shared" si="16"/>
        <v>0.95256410256410251</v>
      </c>
      <c r="I36">
        <f t="shared" si="17"/>
        <v>0.84615384615384615</v>
      </c>
      <c r="J36">
        <f t="shared" si="18"/>
        <v>0.91666666666666663</v>
      </c>
      <c r="K36">
        <f t="shared" si="19"/>
        <v>0.75</v>
      </c>
      <c r="L36">
        <f t="shared" si="20"/>
        <v>0.75</v>
      </c>
      <c r="M36">
        <f t="shared" si="21"/>
        <v>0.88</v>
      </c>
      <c r="N36">
        <f t="shared" si="22"/>
        <v>0.72</v>
      </c>
      <c r="O36">
        <f t="shared" si="12"/>
        <v>0.70701923076923079</v>
      </c>
      <c r="P36" t="str">
        <f t="shared" si="13"/>
        <v>{"Average":0.707019230769231,"EditSimilarity":0.692307692307692,"HammingSimilarity":0,"JaccardIndex":0.5625,"JaroWinklerSimilarity":0.952564102564103,"LevenshteinSimilarity":0.846153846153846,"LongestCommonSubsequenceSimilarity":0.916666666666667,"LongestCommonSubstringSimilarity":0.75,"OverlapCoefficient":0.75,"RatcliffObershelpSimilarity":0.88,"SorensenDiceCoefficient":0.72,"Source":"DATE_OF_BIRTH","Target":"DATE_OF_BATH"},</v>
      </c>
    </row>
    <row r="37" spans="1:16" x14ac:dyDescent="0.25">
      <c r="A37" t="s">
        <v>88</v>
      </c>
      <c r="B37" t="s">
        <v>87</v>
      </c>
      <c r="C37" t="b">
        <f t="shared" si="14"/>
        <v>0</v>
      </c>
      <c r="D37">
        <f t="shared" si="15"/>
        <v>24</v>
      </c>
      <c r="E37">
        <f t="shared" si="9"/>
        <v>0.95833333333333337</v>
      </c>
      <c r="F37">
        <f t="shared" si="10"/>
        <v>0.95833333333333337</v>
      </c>
      <c r="G37">
        <f t="shared" si="11"/>
        <v>0.54838709677419351</v>
      </c>
      <c r="H37">
        <f t="shared" si="16"/>
        <v>0.98333333333333328</v>
      </c>
      <c r="I37">
        <f t="shared" si="17"/>
        <v>0.95833333333333337</v>
      </c>
      <c r="J37">
        <f t="shared" si="18"/>
        <v>0.95833333333333337</v>
      </c>
      <c r="K37">
        <f t="shared" si="19"/>
        <v>0.75</v>
      </c>
      <c r="L37">
        <f t="shared" si="20"/>
        <v>0.70833333333333337</v>
      </c>
      <c r="M37">
        <f t="shared" si="21"/>
        <v>0.95833333333333337</v>
      </c>
      <c r="N37">
        <f t="shared" si="22"/>
        <v>0.70833333333333337</v>
      </c>
      <c r="O37">
        <f t="shared" si="12"/>
        <v>0.8490053763440859</v>
      </c>
      <c r="P37" t="str">
        <f t="shared" si="13"/>
        <v>{"Average":0.849005376344086,"EditSimilarity":0.958333333333333,"HammingSimilarity":0.958333333333333,"JaccardIndex":0.548387096774194,"JaroWinklerSimilarity":0.983333333333333,"LevenshteinSimilarity":0.958333333333333,"LongestCommonSubsequenceSimilarity":0.958333333333333,"LongestCommonSubstringSimilarity":0.75,"OverlapCoefficient":0.708333333333333,"RatcliffObershelpSimilarity":0.958333333333333,"SorensenDiceCoefficient":0.708333333333333,"Source":"DateExtractedFromPayplus","Target":"DateEntractedFromPayplus"},</v>
      </c>
    </row>
    <row r="38" spans="1:16" x14ac:dyDescent="0.25">
      <c r="A38" t="s">
        <v>164</v>
      </c>
      <c r="B38" t="s">
        <v>165</v>
      </c>
      <c r="C38" t="b">
        <f t="shared" si="14"/>
        <v>0</v>
      </c>
      <c r="D38">
        <f t="shared" si="15"/>
        <v>6</v>
      </c>
      <c r="E38">
        <f t="shared" si="9"/>
        <v>0</v>
      </c>
      <c r="F38">
        <f t="shared" si="10"/>
        <v>0</v>
      </c>
      <c r="G38">
        <f t="shared" si="11"/>
        <v>0.18181818181818182</v>
      </c>
      <c r="H38">
        <f t="shared" si="16"/>
        <v>0.43650793650793651</v>
      </c>
      <c r="I38">
        <f t="shared" si="17"/>
        <v>0</v>
      </c>
      <c r="J38">
        <f t="shared" si="18"/>
        <v>0.16666666666666666</v>
      </c>
      <c r="K38">
        <f t="shared" si="19"/>
        <v>0.16666666666666666</v>
      </c>
      <c r="L38">
        <f t="shared" si="20"/>
        <v>0.33333333333333331</v>
      </c>
      <c r="M38">
        <f t="shared" si="21"/>
        <v>0.30769230769230771</v>
      </c>
      <c r="N38">
        <f t="shared" si="22"/>
        <v>0.30769230769230771</v>
      </c>
      <c r="O38">
        <f t="shared" si="12"/>
        <v>0.19003774003774004</v>
      </c>
      <c r="P38" t="str">
        <f t="shared" si="13"/>
        <v>{"Average":0.19003774003774,"EditSimilarity":0,"HammingSimilarity":0,"JaccardIndex":0.181818181818182,"JaroWinklerSimilarity":0.436507936507937,"LevenshteinSimilarity":0,"LongestCommonSubsequenceSimilarity":0.166666666666667,"LongestCommonSubstringSimilarity":0.166666666666667,"OverlapCoefficient":0.333333333333333,"RatcliffObershelpSimilarity":0.307692307692308,"SorensenDiceCoefficient":0.307692307692308,"Source":"DEBIT?","Target":"IsDebit"},</v>
      </c>
    </row>
    <row r="39" spans="1:16" x14ac:dyDescent="0.25">
      <c r="A39" t="s">
        <v>164</v>
      </c>
      <c r="B39" t="s">
        <v>166</v>
      </c>
      <c r="C39" t="b">
        <f t="shared" si="14"/>
        <v>0</v>
      </c>
      <c r="D39">
        <f t="shared" si="15"/>
        <v>6</v>
      </c>
      <c r="E39">
        <f t="shared" si="9"/>
        <v>0</v>
      </c>
      <c r="F39">
        <f t="shared" si="10"/>
        <v>0</v>
      </c>
      <c r="G39">
        <f t="shared" si="11"/>
        <v>0.625</v>
      </c>
      <c r="H39">
        <f t="shared" si="16"/>
        <v>0.84920634920634919</v>
      </c>
      <c r="I39">
        <f t="shared" si="17"/>
        <v>0.5714285714285714</v>
      </c>
      <c r="J39">
        <f t="shared" si="18"/>
        <v>0.83333333333333337</v>
      </c>
      <c r="K39">
        <f t="shared" si="19"/>
        <v>0.83333333333333337</v>
      </c>
      <c r="L39">
        <f t="shared" si="20"/>
        <v>0.83333333333333337</v>
      </c>
      <c r="M39">
        <f t="shared" si="21"/>
        <v>0.76923076923076927</v>
      </c>
      <c r="N39">
        <f t="shared" si="22"/>
        <v>0.76923076923076927</v>
      </c>
      <c r="O39">
        <f t="shared" si="12"/>
        <v>0.60840964590964597</v>
      </c>
      <c r="P39" t="str">
        <f t="shared" si="13"/>
        <v>{"Average":0.608409645909646,"EditSimilarity":0,"HammingSimilarity":0,"JaccardIndex":0.625,"JaroWinklerSimilarity":0.849206349206349,"LevenshteinSimilarity":0.571428571428571,"LongestCommonSubsequenceSimilarity":0.833333333333333,"LongestCommonSubstringSimilarity":0.833333333333333,"OverlapCoefficient":0.833333333333333,"RatcliffObershelpSimilarity":0.769230769230769,"SorensenDiceCoefficient":0.769230769230769,"Source":"DEBIT?","Target":"ISDEBIT"},</v>
      </c>
    </row>
    <row r="40" spans="1:16" x14ac:dyDescent="0.25">
      <c r="A40" t="s">
        <v>17</v>
      </c>
      <c r="B40" t="s">
        <v>16</v>
      </c>
      <c r="C40" t="b">
        <f t="shared" si="14"/>
        <v>0</v>
      </c>
      <c r="D40">
        <f t="shared" si="15"/>
        <v>7</v>
      </c>
      <c r="E40">
        <f t="shared" si="9"/>
        <v>0.85714285714285721</v>
      </c>
      <c r="F40">
        <f t="shared" si="10"/>
        <v>0.8571428571428571</v>
      </c>
      <c r="G40">
        <f t="shared" si="11"/>
        <v>0.55555555555555558</v>
      </c>
      <c r="H40">
        <f t="shared" si="16"/>
        <v>0.94285714285714284</v>
      </c>
      <c r="I40">
        <f t="shared" si="17"/>
        <v>0.85714285714285721</v>
      </c>
      <c r="J40">
        <f t="shared" si="18"/>
        <v>0.8571428571428571</v>
      </c>
      <c r="K40">
        <f t="shared" si="19"/>
        <v>0.5714285714285714</v>
      </c>
      <c r="L40">
        <f t="shared" si="20"/>
        <v>0.7142857142857143</v>
      </c>
      <c r="M40">
        <f t="shared" si="21"/>
        <v>0.8571428571428571</v>
      </c>
      <c r="N40">
        <f t="shared" si="22"/>
        <v>0.7142857142857143</v>
      </c>
      <c r="O40">
        <f t="shared" si="12"/>
        <v>0.77841269841269833</v>
      </c>
      <c r="P40" t="str">
        <f t="shared" si="13"/>
        <v>{"Average":0.778412698412698,"EditSimilarity":0.857142857142857,"HammingSimilarity":0.857142857142857,"JaccardIndex":0.555555555555556,"JaroWinklerSimilarity":0.942857142857143,"LevenshteinSimilarity":0.857142857142857,"LongestCommonSubsequenceSimilarity":0.857142857142857,"LongestCommonSubstringSimilarity":0.571428571428571,"OverlapCoefficient":0.714285714285714,"RatcliffObershelpSimilarity":0.857142857142857,"SorensenDiceCoefficient":0.714285714285714,"Source":"DMNPF11","Target":"DMNPE11"},</v>
      </c>
    </row>
    <row r="41" spans="1:16" x14ac:dyDescent="0.25">
      <c r="A41" t="s">
        <v>49</v>
      </c>
      <c r="B41" t="s">
        <v>49</v>
      </c>
      <c r="C41" t="b">
        <f t="shared" si="14"/>
        <v>1</v>
      </c>
      <c r="D41">
        <f t="shared" si="15"/>
        <v>17</v>
      </c>
      <c r="E41">
        <f t="shared" si="9"/>
        <v>1</v>
      </c>
      <c r="F41">
        <f t="shared" si="10"/>
        <v>1</v>
      </c>
      <c r="G41">
        <f t="shared" si="11"/>
        <v>1</v>
      </c>
      <c r="H41">
        <f t="shared" si="16"/>
        <v>1</v>
      </c>
      <c r="I41">
        <f t="shared" si="17"/>
        <v>1</v>
      </c>
      <c r="J41">
        <f t="shared" si="18"/>
        <v>1</v>
      </c>
      <c r="K41">
        <f t="shared" si="19"/>
        <v>1</v>
      </c>
      <c r="L41">
        <f t="shared" si="20"/>
        <v>1</v>
      </c>
      <c r="M41">
        <f t="shared" si="21"/>
        <v>1</v>
      </c>
      <c r="N41">
        <f t="shared" si="22"/>
        <v>1</v>
      </c>
      <c r="O41">
        <f t="shared" si="12"/>
        <v>1</v>
      </c>
      <c r="P41" t="str">
        <f t="shared" si="13"/>
        <v>{"Average":1,"EditSimilarity":1,"HammingSimilarity":1,"JaccardIndex":1,"JaroWinklerSimilarity":1,"LevenshteinSimilarity":1,"LongestCommonSubsequenceSimilarity":1,"LongestCommonSubstringSimilarity":1,"OverlapCoefficient":1,"RatcliffObershelpSimilarity":1,"SorensenDiceCoefficient":1,"Source":"document_set_code","Target":"document_set_code"},</v>
      </c>
    </row>
    <row r="42" spans="1:16" x14ac:dyDescent="0.25">
      <c r="A42" t="s">
        <v>185</v>
      </c>
      <c r="B42" t="s">
        <v>186</v>
      </c>
      <c r="C42" t="b">
        <f t="shared" si="14"/>
        <v>0</v>
      </c>
      <c r="D42">
        <f t="shared" si="15"/>
        <v>6</v>
      </c>
      <c r="E42">
        <f t="shared" si="9"/>
        <v>0.33333333333333337</v>
      </c>
      <c r="F42">
        <f t="shared" si="10"/>
        <v>0</v>
      </c>
      <c r="G42">
        <f t="shared" si="11"/>
        <v>0.5714285714285714</v>
      </c>
      <c r="H42">
        <f t="shared" si="16"/>
        <v>0.85777777777777775</v>
      </c>
      <c r="I42">
        <f t="shared" si="17"/>
        <v>0.66666666666666674</v>
      </c>
      <c r="J42">
        <f t="shared" si="18"/>
        <v>0.8</v>
      </c>
      <c r="K42">
        <f t="shared" si="19"/>
        <v>0.4</v>
      </c>
      <c r="L42">
        <f t="shared" si="20"/>
        <v>0.8</v>
      </c>
      <c r="M42">
        <f t="shared" si="21"/>
        <v>0.72727272727272729</v>
      </c>
      <c r="N42">
        <f t="shared" si="22"/>
        <v>0.72727272727272729</v>
      </c>
      <c r="O42">
        <f t="shared" si="12"/>
        <v>0.58837518037518044</v>
      </c>
      <c r="P42" t="str">
        <f t="shared" si="13"/>
        <v>{"Average":0.58837518037518,"EditSimilarity":0.333333333333333,"HammingSimilarity":0,"JaccardIndex":0.571428571428571,"JaroWinklerSimilarity":0.857777777777778,"LevenshteinSimilarity":0.666666666666667,"LongestCommonSubsequenceSimilarity":0.8,"LongestCommonSubstringSimilarity":0.4,"OverlapCoefficient":0.8,"RatcliffObershelpSimilarity":0.727272727272727,"SorensenDiceCoefficient":0.727272727272727,"Source":"DWAYNE","Target":"DUANE"},</v>
      </c>
    </row>
    <row r="43" spans="1:16" x14ac:dyDescent="0.25">
      <c r="A43" t="s">
        <v>86</v>
      </c>
      <c r="B43" t="s">
        <v>85</v>
      </c>
      <c r="C43" t="b">
        <f t="shared" si="14"/>
        <v>0</v>
      </c>
      <c r="D43">
        <f t="shared" si="15"/>
        <v>24</v>
      </c>
      <c r="E43">
        <f t="shared" si="9"/>
        <v>0.95833333333333337</v>
      </c>
      <c r="F43">
        <f t="shared" si="10"/>
        <v>0.95833333333333337</v>
      </c>
      <c r="G43">
        <f t="shared" si="11"/>
        <v>0.33333333333333331</v>
      </c>
      <c r="H43">
        <f t="shared" si="16"/>
        <v>0.98333333333333328</v>
      </c>
      <c r="I43">
        <f t="shared" si="17"/>
        <v>0.95833333333333337</v>
      </c>
      <c r="J43">
        <f t="shared" si="18"/>
        <v>0.95833333333333337</v>
      </c>
      <c r="K43">
        <f t="shared" si="19"/>
        <v>0.75</v>
      </c>
      <c r="L43">
        <f t="shared" si="20"/>
        <v>0.5</v>
      </c>
      <c r="M43">
        <f t="shared" si="21"/>
        <v>0.95833333333333337</v>
      </c>
      <c r="N43">
        <f t="shared" si="22"/>
        <v>0.5</v>
      </c>
      <c r="O43">
        <f t="shared" si="12"/>
        <v>0.78583333333333327</v>
      </c>
      <c r="P43" t="str">
        <f t="shared" si="13"/>
        <v>{"Average":0.785833333333333,"EditSimilarity":0.958333333333333,"HammingSimilarity":0.958333333333333,"JaccardIndex":0.333333333333333,"JaroWinklerSimilarity":0.983333333333333,"LevenshteinSimilarity":0.958333333333333,"LongestCommonSubsequenceSimilarity":0.958333333333333,"LongestCommonSubstringSimilarity":0.75,"OverlapCoefficient":0.5,"RatcliffObershelpSimilarity":0.958333333333333,"SorensenDiceCoefficient":0.5,"Source":"EB3_WELFARE_BENEFIT_PLAN","Target":"EB3_WELFARE_BENEFIZ_PLAN"},</v>
      </c>
    </row>
    <row r="44" spans="1:16" x14ac:dyDescent="0.25">
      <c r="A44" t="s">
        <v>108</v>
      </c>
      <c r="B44" t="s">
        <v>107</v>
      </c>
      <c r="C44" t="b">
        <f t="shared" si="14"/>
        <v>0</v>
      </c>
      <c r="D44">
        <f t="shared" si="15"/>
        <v>28</v>
      </c>
      <c r="E44">
        <f t="shared" si="9"/>
        <v>0.9642857142857143</v>
      </c>
      <c r="F44">
        <f t="shared" si="10"/>
        <v>0.9642857142857143</v>
      </c>
      <c r="G44">
        <f t="shared" si="11"/>
        <v>0.33333333333333331</v>
      </c>
      <c r="H44">
        <f t="shared" si="16"/>
        <v>0.90555555555555556</v>
      </c>
      <c r="I44">
        <f t="shared" si="17"/>
        <v>0.9642857142857143</v>
      </c>
      <c r="J44">
        <f t="shared" si="18"/>
        <v>0.9642857142857143</v>
      </c>
      <c r="K44">
        <f t="shared" si="19"/>
        <v>0.9642857142857143</v>
      </c>
      <c r="L44">
        <f t="shared" si="20"/>
        <v>0.5</v>
      </c>
      <c r="M44">
        <f t="shared" si="21"/>
        <v>0.9642857142857143</v>
      </c>
      <c r="N44">
        <f t="shared" si="22"/>
        <v>0.5</v>
      </c>
      <c r="O44">
        <f t="shared" si="12"/>
        <v>0.80246031746031754</v>
      </c>
      <c r="P44" t="str">
        <f t="shared" si="13"/>
        <v>{"Average":0.802460317460318,"EditSimilarity":0.964285714285714,"HammingSimilarity":0.964285714285714,"JaccardIndex":0.333333333333333,"JaroWinklerSimilarity":0.905555555555556,"LevenshteinSimilarity":0.964285714285714,"LongestCommonSubsequenceSimilarity":0.964285714285714,"LongestCommonSubstringSimilarity":0.964285714285714,"OverlapCoefficient":0.5,"RatcliffObershelpSimilarity":0.964285714285714,"SorensenDiceCoefficient":0.5,"Source":"EB30_DESIG_AGT_NAME_AND_ADDR","Target":"RB30_DESIG_AGT_NAME_AND_ADDR"},</v>
      </c>
    </row>
    <row r="45" spans="1:16" x14ac:dyDescent="0.25">
      <c r="A45" t="s">
        <v>133</v>
      </c>
      <c r="B45" t="s">
        <v>133</v>
      </c>
      <c r="C45" t="b">
        <f t="shared" si="14"/>
        <v>1</v>
      </c>
      <c r="D45">
        <f t="shared" si="15"/>
        <v>35</v>
      </c>
      <c r="E45">
        <f t="shared" si="9"/>
        <v>1</v>
      </c>
      <c r="F45">
        <f t="shared" si="10"/>
        <v>1</v>
      </c>
      <c r="G45">
        <f t="shared" si="11"/>
        <v>1</v>
      </c>
      <c r="H45">
        <f t="shared" si="16"/>
        <v>1</v>
      </c>
      <c r="I45">
        <f t="shared" si="17"/>
        <v>1</v>
      </c>
      <c r="J45">
        <f t="shared" si="18"/>
        <v>1</v>
      </c>
      <c r="K45">
        <f t="shared" si="19"/>
        <v>1</v>
      </c>
      <c r="L45">
        <f t="shared" si="20"/>
        <v>1</v>
      </c>
      <c r="M45">
        <f t="shared" si="21"/>
        <v>1</v>
      </c>
      <c r="N45">
        <f t="shared" si="22"/>
        <v>1</v>
      </c>
      <c r="O45">
        <f t="shared" si="12"/>
        <v>1</v>
      </c>
      <c r="P45" t="str">
        <f t="shared" si="13"/>
        <v>{"Average":1,"EditSimilarity":1,"HammingSimilarity":1,"JaccardIndex":1,"JaroWinklerSimilarity":1,"LevenshteinSimilarity":1,"LongestCommonSubsequenceSimilarity":1,"LongestCommonSubstringSimilarity":1,"OverlapCoefficient":1,"RatcliffObershelpSimilarity":1,"SorensenDiceCoefficient":1,"Source":"ESCROW_LAST_ANALYSIS_EFFECTIVE_DATE","Target":"ESCROW_LAST_ANALYSIS_EFFECTIVE_DATE"},</v>
      </c>
    </row>
    <row r="46" spans="1:16" x14ac:dyDescent="0.25">
      <c r="A46" t="s">
        <v>142</v>
      </c>
      <c r="B46" t="s">
        <v>142</v>
      </c>
      <c r="C46" t="b">
        <f t="shared" si="14"/>
        <v>1</v>
      </c>
      <c r="D46">
        <f t="shared" si="15"/>
        <v>41</v>
      </c>
      <c r="E46">
        <f t="shared" si="9"/>
        <v>1</v>
      </c>
      <c r="F46">
        <f t="shared" si="10"/>
        <v>1</v>
      </c>
      <c r="G46">
        <f t="shared" si="11"/>
        <v>1</v>
      </c>
      <c r="H46">
        <f t="shared" si="16"/>
        <v>1</v>
      </c>
      <c r="I46">
        <f t="shared" si="17"/>
        <v>1</v>
      </c>
      <c r="J46">
        <f t="shared" si="18"/>
        <v>1</v>
      </c>
      <c r="K46">
        <f t="shared" si="19"/>
        <v>1</v>
      </c>
      <c r="L46">
        <f t="shared" si="20"/>
        <v>1</v>
      </c>
      <c r="M46">
        <f t="shared" si="21"/>
        <v>1</v>
      </c>
      <c r="N46">
        <f t="shared" si="22"/>
        <v>1</v>
      </c>
      <c r="O46">
        <f t="shared" si="12"/>
        <v>1</v>
      </c>
      <c r="P46" t="str">
        <f t="shared" si="13"/>
        <v>{"Average":1,"EditSimilarity":1,"HammingSimilarity":1,"JaccardIndex":1,"JaroWinklerSimilarity":1,"LevenshteinSimilarity":1,"LongestCommonSubsequenceSimilarity":1,"LongestCommonSubstringSimilarity":1,"OverlapCoefficient":1,"RatcliffObershelpSimilarity":1,"SorensenDiceCoefficient":1,"Source":"Ethnicity - Visual Observation or Surname","Target":"Ethnicity - Visual Observation or Surname"},</v>
      </c>
    </row>
    <row r="47" spans="1:16" x14ac:dyDescent="0.25">
      <c r="A47" t="s">
        <v>72</v>
      </c>
      <c r="B47" t="s">
        <v>72</v>
      </c>
      <c r="C47" t="b">
        <f t="shared" si="14"/>
        <v>1</v>
      </c>
      <c r="D47">
        <f t="shared" si="15"/>
        <v>21</v>
      </c>
      <c r="E47">
        <f t="shared" si="9"/>
        <v>1</v>
      </c>
      <c r="F47">
        <f t="shared" si="10"/>
        <v>1</v>
      </c>
      <c r="G47">
        <f t="shared" si="11"/>
        <v>1</v>
      </c>
      <c r="H47">
        <f t="shared" si="16"/>
        <v>1</v>
      </c>
      <c r="I47">
        <f t="shared" si="17"/>
        <v>1</v>
      </c>
      <c r="J47">
        <f t="shared" si="18"/>
        <v>1</v>
      </c>
      <c r="K47">
        <f t="shared" si="19"/>
        <v>1</v>
      </c>
      <c r="L47">
        <f t="shared" si="20"/>
        <v>1</v>
      </c>
      <c r="M47">
        <f t="shared" si="21"/>
        <v>1</v>
      </c>
      <c r="N47">
        <f t="shared" si="22"/>
        <v>1</v>
      </c>
      <c r="O47">
        <f t="shared" si="12"/>
        <v>1</v>
      </c>
      <c r="P47" t="str">
        <f t="shared" si="13"/>
        <v>{"Average":1,"EditSimilarity":1,"HammingSimilarity":1,"JaccardIndex":1,"JaroWinklerSimilarity":1,"LevenshteinSimilarity":1,"LongestCommonSubsequenceSimilarity":1,"LongestCommonSubstringSimilarity":1,"OverlapCoefficient":1,"RatcliffObershelpSimilarity":1,"SorensenDiceCoefficient":1,"Source":"exist_status_exp_flag","Target":"exist_status_exp_flag"},</v>
      </c>
    </row>
    <row r="48" spans="1:16" x14ac:dyDescent="0.25">
      <c r="A48" t="s">
        <v>15</v>
      </c>
      <c r="B48" t="s">
        <v>14</v>
      </c>
      <c r="C48" t="b">
        <f t="shared" si="14"/>
        <v>0</v>
      </c>
      <c r="D48">
        <f t="shared" si="15"/>
        <v>7</v>
      </c>
      <c r="E48">
        <f t="shared" si="9"/>
        <v>0.85714285714285721</v>
      </c>
      <c r="F48">
        <f t="shared" si="10"/>
        <v>0.8571428571428571</v>
      </c>
      <c r="G48">
        <f t="shared" si="11"/>
        <v>0.75</v>
      </c>
      <c r="H48">
        <f t="shared" si="16"/>
        <v>0.93333333333333335</v>
      </c>
      <c r="I48">
        <f t="shared" si="17"/>
        <v>0.85714285714285721</v>
      </c>
      <c r="J48">
        <f t="shared" si="18"/>
        <v>0.8571428571428571</v>
      </c>
      <c r="K48">
        <f t="shared" si="19"/>
        <v>0.7142857142857143</v>
      </c>
      <c r="L48">
        <f t="shared" si="20"/>
        <v>0.8571428571428571</v>
      </c>
      <c r="M48">
        <f t="shared" si="21"/>
        <v>0.8571428571428571</v>
      </c>
      <c r="N48">
        <f t="shared" si="22"/>
        <v>0.8571428571428571</v>
      </c>
      <c r="O48">
        <f t="shared" si="12"/>
        <v>0.83976190476190471</v>
      </c>
      <c r="P48" t="str">
        <f t="shared" si="13"/>
        <v>{"Average":0.839761904761905,"EditSimilarity":0.857142857142857,"HammingSimilarity":0.857142857142857,"JaccardIndex":0.75,"JaroWinklerSimilarity":0.933333333333333,"LevenshteinSimilarity":0.857142857142857,"LongestCommonSubsequenceSimilarity":0.857142857142857,"LongestCommonSubstringSimilarity":0.714285714285714,"OverlapCoefficient":0.857142857142857,"RatcliffObershelpSimilarity":0.857142857142857,"SorensenDiceCoefficient":0.857142857142857,"Source":"fee4-id","Target":"fze4-id"},</v>
      </c>
    </row>
    <row r="49" spans="1:16" x14ac:dyDescent="0.25">
      <c r="A49" t="s">
        <v>66</v>
      </c>
      <c r="B49" t="s">
        <v>65</v>
      </c>
      <c r="C49" t="b">
        <f t="shared" si="14"/>
        <v>0</v>
      </c>
      <c r="D49">
        <f t="shared" si="15"/>
        <v>20</v>
      </c>
      <c r="E49">
        <f t="shared" si="9"/>
        <v>0.95</v>
      </c>
      <c r="F49">
        <f t="shared" si="10"/>
        <v>0.95</v>
      </c>
      <c r="G49">
        <f t="shared" si="11"/>
        <v>0.53846153846153844</v>
      </c>
      <c r="H49">
        <f t="shared" si="16"/>
        <v>0.98</v>
      </c>
      <c r="I49">
        <f t="shared" si="17"/>
        <v>0.95</v>
      </c>
      <c r="J49">
        <f t="shared" si="18"/>
        <v>0.95</v>
      </c>
      <c r="K49">
        <f t="shared" si="19"/>
        <v>0.65</v>
      </c>
      <c r="L49">
        <f t="shared" si="20"/>
        <v>0.7</v>
      </c>
      <c r="M49">
        <f t="shared" si="21"/>
        <v>0.95</v>
      </c>
      <c r="N49">
        <f t="shared" si="22"/>
        <v>0.7</v>
      </c>
      <c r="O49">
        <f t="shared" si="12"/>
        <v>0.8318461538461539</v>
      </c>
      <c r="P49" t="str">
        <f t="shared" si="13"/>
        <v>{"Average":0.831846153846154,"EditSimilarity":0.95,"HammingSimilarity":0.95,"JaccardIndex":0.538461538461538,"JaroWinklerSimilarity":0.98,"LevenshteinSimilarity":0.95,"LongestCommonSubsequenceSimilarity":0.95,"LongestCommonSubstringSimilarity":0.65,"OverlapCoefficient":0.7,"RatcliffObershelpSimilarity":0.95,"SorensenDiceCoefficient":0.7,"Source":"First Time Homebuyer","Target":"First Time Hosebuyer"},</v>
      </c>
    </row>
    <row r="50" spans="1:16" x14ac:dyDescent="0.25">
      <c r="A50" t="s">
        <v>101</v>
      </c>
      <c r="B50" t="s">
        <v>101</v>
      </c>
      <c r="C50" t="b">
        <f t="shared" si="14"/>
        <v>1</v>
      </c>
      <c r="D50">
        <f t="shared" si="15"/>
        <v>26</v>
      </c>
      <c r="E50">
        <f t="shared" si="9"/>
        <v>1</v>
      </c>
      <c r="F50">
        <f t="shared" si="10"/>
        <v>1</v>
      </c>
      <c r="G50">
        <f t="shared" si="11"/>
        <v>1</v>
      </c>
      <c r="H50">
        <f t="shared" si="16"/>
        <v>1</v>
      </c>
      <c r="I50">
        <f t="shared" si="17"/>
        <v>1</v>
      </c>
      <c r="J50">
        <f t="shared" si="18"/>
        <v>1</v>
      </c>
      <c r="K50">
        <f t="shared" si="19"/>
        <v>1</v>
      </c>
      <c r="L50">
        <f t="shared" si="20"/>
        <v>1</v>
      </c>
      <c r="M50">
        <f t="shared" si="21"/>
        <v>1</v>
      </c>
      <c r="N50">
        <f t="shared" si="22"/>
        <v>1</v>
      </c>
      <c r="O50">
        <f t="shared" si="12"/>
        <v>1</v>
      </c>
      <c r="P50" t="str">
        <f t="shared" si="13"/>
        <v>{"Average":1,"EditSimilarity":1,"HammingSimilarity":1,"JaccardIndex":1,"JaroWinklerSimilarity":1,"LevenshteinSimilarity":1,"LongestCommonSubsequenceSimilarity":1,"LongestCommonSubstringSimilarity":1,"OverlapCoefficient":1,"RatcliffObershelpSimilarity":1,"SorensenDiceCoefficient":1,"Source":"foreclosure_satisfied_date","Target":"foreclosure_satisfied_date"},</v>
      </c>
    </row>
    <row r="51" spans="1:16" x14ac:dyDescent="0.25">
      <c r="A51" t="s">
        <v>132</v>
      </c>
      <c r="B51" t="s">
        <v>132</v>
      </c>
      <c r="C51" t="b">
        <f t="shared" si="14"/>
        <v>1</v>
      </c>
      <c r="D51">
        <f t="shared" si="15"/>
        <v>35</v>
      </c>
      <c r="E51">
        <f t="shared" si="9"/>
        <v>1</v>
      </c>
      <c r="F51">
        <f t="shared" si="10"/>
        <v>1</v>
      </c>
      <c r="G51">
        <f t="shared" si="11"/>
        <v>1</v>
      </c>
      <c r="H51">
        <f t="shared" si="16"/>
        <v>1</v>
      </c>
      <c r="I51">
        <f t="shared" si="17"/>
        <v>1</v>
      </c>
      <c r="J51">
        <f t="shared" si="18"/>
        <v>1</v>
      </c>
      <c r="K51">
        <f t="shared" si="19"/>
        <v>1</v>
      </c>
      <c r="L51">
        <f t="shared" si="20"/>
        <v>1</v>
      </c>
      <c r="M51">
        <f t="shared" si="21"/>
        <v>1</v>
      </c>
      <c r="N51">
        <f t="shared" si="22"/>
        <v>1</v>
      </c>
      <c r="O51">
        <f t="shared" si="12"/>
        <v>1</v>
      </c>
      <c r="P51" t="str">
        <f t="shared" si="13"/>
        <v>{"Average":1,"EditSimilarity":1,"HammingSimilarity":1,"JaccardIndex":1,"JaroWinklerSimilarity":1,"LevenshteinSimilarity":1,"LongestCommonSubsequenceSimilarity":1,"LongestCommonSubstringSimilarity":1,"OverlapCoefficient":1,"RatcliffObershelpSimilarity":1,"SorensenDiceCoefficient":1,"Source":"ForeignCorrespondentBankCountryCode","Target":"ForeignCorrespondentBankCountryCode"},</v>
      </c>
    </row>
    <row r="52" spans="1:16" x14ac:dyDescent="0.25">
      <c r="A52" t="s">
        <v>147</v>
      </c>
      <c r="B52" t="s">
        <v>146</v>
      </c>
      <c r="C52" t="b">
        <f t="shared" si="14"/>
        <v>0</v>
      </c>
      <c r="D52">
        <f t="shared" si="15"/>
        <v>53</v>
      </c>
      <c r="E52">
        <f t="shared" si="9"/>
        <v>0.98113207547169812</v>
      </c>
      <c r="F52">
        <f t="shared" si="10"/>
        <v>0.98113207547169812</v>
      </c>
      <c r="G52">
        <f t="shared" si="11"/>
        <v>0.29268292682926828</v>
      </c>
      <c r="H52">
        <f t="shared" si="16"/>
        <v>0.97322206095790997</v>
      </c>
      <c r="I52">
        <f t="shared" si="17"/>
        <v>0.98113207547169812</v>
      </c>
      <c r="J52">
        <f t="shared" si="18"/>
        <v>0.98113207547169812</v>
      </c>
      <c r="K52">
        <f t="shared" si="19"/>
        <v>0.50943396226415094</v>
      </c>
      <c r="L52">
        <f t="shared" si="20"/>
        <v>0.45283018867924529</v>
      </c>
      <c r="M52">
        <f t="shared" si="21"/>
        <v>0.98113207547169812</v>
      </c>
      <c r="N52">
        <f t="shared" si="22"/>
        <v>0.45283018867924529</v>
      </c>
      <c r="O52">
        <f t="shared" si="12"/>
        <v>0.75866597047683093</v>
      </c>
      <c r="P52" t="str">
        <f t="shared" si="13"/>
        <v>{"Average":0.758665970476831,"EditSimilarity":0.981132075471698,"HammingSimilarity":0.981132075471698,"JaccardIndex":0.292682926829268,"JaroWinklerSimilarity":0.97322206095791,"LevenshteinSimilarity":0.981132075471698,"LongestCommonSubsequenceSimilarity":0.981132075471698,"LongestCommonSubstringSimilarity":0.509433962264151,"OverlapCoefficient":0.452830188679245,"RatcliffObershelpSimilarity":0.981132075471698,"SorensenDiceCoefficient":0.452830188679245,"Source":"ForeignCorrespondentBankIdentificationNumberQualifier","Target":"ForeignCorrespondentBankIdeztificationNumberQualifier"},</v>
      </c>
    </row>
    <row r="53" spans="1:16" x14ac:dyDescent="0.25">
      <c r="A53" t="s">
        <v>64</v>
      </c>
      <c r="B53" t="s">
        <v>63</v>
      </c>
      <c r="C53" t="b">
        <f t="shared" si="14"/>
        <v>0</v>
      </c>
      <c r="D53">
        <f t="shared" si="15"/>
        <v>20</v>
      </c>
      <c r="E53">
        <f t="shared" si="9"/>
        <v>0.95</v>
      </c>
      <c r="F53">
        <f t="shared" si="10"/>
        <v>0.95</v>
      </c>
      <c r="G53">
        <f t="shared" si="11"/>
        <v>0.48148148148148145</v>
      </c>
      <c r="H53">
        <f t="shared" si="16"/>
        <v>0.92736842105263151</v>
      </c>
      <c r="I53">
        <f t="shared" si="17"/>
        <v>0.95</v>
      </c>
      <c r="J53">
        <f t="shared" si="18"/>
        <v>0.95</v>
      </c>
      <c r="K53">
        <f t="shared" si="19"/>
        <v>0.55000000000000004</v>
      </c>
      <c r="L53">
        <f t="shared" si="20"/>
        <v>0.65</v>
      </c>
      <c r="M53">
        <f t="shared" si="21"/>
        <v>0.95</v>
      </c>
      <c r="N53">
        <f t="shared" si="22"/>
        <v>0.65</v>
      </c>
      <c r="O53">
        <f t="shared" si="12"/>
        <v>0.80088499025341131</v>
      </c>
      <c r="P53" t="str">
        <f t="shared" si="13"/>
        <v>{"Average":0.800884990253411,"EditSimilarity":0.95,"HammingSimilarity":0.95,"JaccardIndex":0.481481481481481,"JaroWinklerSimilarity":0.927368421052632,"LevenshteinSimilarity":0.95,"LongestCommonSubsequenceSimilarity":0.95,"LongestCommonSubstringSimilarity":0.55,"OverlapCoefficient":0.65,"RatcliffObershelpSimilarity":0.95,"SorensenDiceCoefficient":0.65,"Source":"ForeignPaymentAmount","Target":"ForeignPnymentAmount"},</v>
      </c>
    </row>
    <row r="54" spans="1:16" x14ac:dyDescent="0.25">
      <c r="A54" t="s">
        <v>41</v>
      </c>
      <c r="B54" t="s">
        <v>41</v>
      </c>
      <c r="C54" t="b">
        <f t="shared" si="14"/>
        <v>1</v>
      </c>
      <c r="D54">
        <f t="shared" si="15"/>
        <v>16</v>
      </c>
      <c r="E54">
        <f t="shared" si="9"/>
        <v>1</v>
      </c>
      <c r="F54">
        <f t="shared" si="10"/>
        <v>1</v>
      </c>
      <c r="G54">
        <f t="shared" si="11"/>
        <v>1</v>
      </c>
      <c r="H54">
        <f t="shared" si="16"/>
        <v>1</v>
      </c>
      <c r="I54">
        <f t="shared" si="17"/>
        <v>1</v>
      </c>
      <c r="J54">
        <f t="shared" si="18"/>
        <v>1</v>
      </c>
      <c r="K54">
        <f t="shared" si="19"/>
        <v>1</v>
      </c>
      <c r="L54">
        <f t="shared" si="20"/>
        <v>1</v>
      </c>
      <c r="M54">
        <f t="shared" si="21"/>
        <v>1</v>
      </c>
      <c r="N54">
        <f t="shared" si="22"/>
        <v>1</v>
      </c>
      <c r="O54">
        <f t="shared" si="12"/>
        <v>1</v>
      </c>
      <c r="P54" t="str">
        <f t="shared" si="13"/>
        <v>{"Average":1,"EditSimilarity":1,"HammingSimilarity":1,"JaccardIndex":1,"JaroWinklerSimilarity":1,"LevenshteinSimilarity":1,"LongestCommonSubsequenceSimilarity":1,"LongestCommonSubstringSimilarity":1,"OverlapCoefficient":1,"RatcliffObershelpSimilarity":1,"SorensenDiceCoefficient":1,"Source":"grace_period_num","Target":"grace_period_num"},</v>
      </c>
    </row>
    <row r="55" spans="1:16" x14ac:dyDescent="0.25">
      <c r="A55" t="s">
        <v>167</v>
      </c>
      <c r="B55" t="s">
        <v>168</v>
      </c>
      <c r="C55" t="b">
        <f t="shared" si="14"/>
        <v>0</v>
      </c>
      <c r="D55">
        <f t="shared" si="15"/>
        <v>11</v>
      </c>
      <c r="E55">
        <f t="shared" si="9"/>
        <v>0.45454545454545459</v>
      </c>
      <c r="F55">
        <f t="shared" si="10"/>
        <v>0.45454545454545453</v>
      </c>
      <c r="G55">
        <f t="shared" si="11"/>
        <v>0.46666666666666667</v>
      </c>
      <c r="H55">
        <f t="shared" si="16"/>
        <v>0.96363636363636362</v>
      </c>
      <c r="I55">
        <f t="shared" si="17"/>
        <v>0.81818181818181812</v>
      </c>
      <c r="J55">
        <f t="shared" si="18"/>
        <v>0.90909090909090906</v>
      </c>
      <c r="K55">
        <f t="shared" si="19"/>
        <v>0.45454545454545453</v>
      </c>
      <c r="L55">
        <f t="shared" si="20"/>
        <v>0.63636363636363635</v>
      </c>
      <c r="M55">
        <f t="shared" si="21"/>
        <v>0.90909090909090906</v>
      </c>
      <c r="N55">
        <f t="shared" si="22"/>
        <v>0.63636363636363635</v>
      </c>
      <c r="O55">
        <f t="shared" si="12"/>
        <v>0.6703030303030304</v>
      </c>
      <c r="P55" t="str">
        <f t="shared" si="13"/>
        <v>{"Average":0.67030303030303,"EditSimilarity":0.454545454545455,"HammingSimilarity":0.454545454545455,"JaccardIndex":0.466666666666667,"JaroWinklerSimilarity":0.963636363636364,"LevenshteinSimilarity":0.818181818181818,"LongestCommonSubsequenceSimilarity":0.909090909090909,"LongestCommonSubstringSimilarity":0.454545454545455,"OverlapCoefficient":0.636363636363636,"RatcliffObershelpSimilarity":0.909090909090909,"SorensenDiceCoefficient":0.636363636363636,"Source":"Hello World","Target":"HelloWorld."},</v>
      </c>
    </row>
    <row r="56" spans="1:16" x14ac:dyDescent="0.25">
      <c r="A56" t="s">
        <v>169</v>
      </c>
      <c r="B56" t="s">
        <v>170</v>
      </c>
      <c r="C56" t="b">
        <f t="shared" si="14"/>
        <v>0</v>
      </c>
      <c r="D56">
        <f t="shared" si="15"/>
        <v>5</v>
      </c>
      <c r="E56">
        <f t="shared" si="9"/>
        <v>0.8</v>
      </c>
      <c r="F56">
        <f t="shared" si="10"/>
        <v>0.8</v>
      </c>
      <c r="G56">
        <f t="shared" si="11"/>
        <v>0.42857142857142855</v>
      </c>
      <c r="H56">
        <f t="shared" si="16"/>
        <v>0.92</v>
      </c>
      <c r="I56">
        <f t="shared" si="17"/>
        <v>0.8</v>
      </c>
      <c r="J56">
        <f t="shared" si="18"/>
        <v>0.8</v>
      </c>
      <c r="K56">
        <f t="shared" si="19"/>
        <v>0.8</v>
      </c>
      <c r="L56">
        <f t="shared" si="20"/>
        <v>0.6</v>
      </c>
      <c r="M56">
        <f t="shared" si="21"/>
        <v>0.8</v>
      </c>
      <c r="N56">
        <f t="shared" si="22"/>
        <v>0.6</v>
      </c>
      <c r="O56">
        <f t="shared" si="12"/>
        <v>0.73485714285714265</v>
      </c>
      <c r="P56" t="str">
        <f t="shared" si="13"/>
        <v>{"Average":0.734857142857143,"EditSimilarity":0.8,"HammingSimilarity":0.8,"JaccardIndex":0.428571428571429,"JaroWinklerSimilarity":0.92,"LevenshteinSimilarity":0.8,"LongestCommonSubsequenceSimilarity":0.8,"LongestCommonSubstringSimilarity":0.8,"OverlapCoefficient":0.6,"RatcliffObershelpSimilarity":0.8,"SorensenDiceCoefficient":0.6,"Source":"Hodor","Target":"Hodo?"},</v>
      </c>
    </row>
    <row r="57" spans="1:16" x14ac:dyDescent="0.25">
      <c r="A57" t="s">
        <v>84</v>
      </c>
      <c r="B57" t="s">
        <v>84</v>
      </c>
      <c r="C57" t="b">
        <f t="shared" si="14"/>
        <v>1</v>
      </c>
      <c r="D57">
        <f t="shared" si="15"/>
        <v>24</v>
      </c>
      <c r="E57">
        <f t="shared" si="9"/>
        <v>1</v>
      </c>
      <c r="F57">
        <f t="shared" si="10"/>
        <v>1</v>
      </c>
      <c r="G57">
        <f t="shared" si="11"/>
        <v>1</v>
      </c>
      <c r="H57">
        <f t="shared" si="16"/>
        <v>1</v>
      </c>
      <c r="I57">
        <f t="shared" si="17"/>
        <v>1</v>
      </c>
      <c r="J57">
        <f t="shared" si="18"/>
        <v>1</v>
      </c>
      <c r="K57">
        <f t="shared" si="19"/>
        <v>1</v>
      </c>
      <c r="L57">
        <f t="shared" si="20"/>
        <v>1</v>
      </c>
      <c r="M57">
        <f t="shared" si="21"/>
        <v>1</v>
      </c>
      <c r="N57">
        <f t="shared" si="22"/>
        <v>1</v>
      </c>
      <c r="O57">
        <f t="shared" si="12"/>
        <v>1</v>
      </c>
      <c r="P57" t="str">
        <f t="shared" si="13"/>
        <v>{"Average":1,"EditSimilarity":1,"HammingSimilarity":1,"JaccardIndex":1,"JaroWinklerSimilarity":1,"LevenshteinSimilarity":1,"LongestCommonSubsequenceSimilarity":1,"LongestCommonSubstringSimilarity":1,"OverlapCoefficient":1,"RatcliffObershelpSimilarity":1,"SorensenDiceCoefficient":1,"Source":"home_track_location_code","Target":"home_track_location_code"},</v>
      </c>
    </row>
    <row r="58" spans="1:16" x14ac:dyDescent="0.25">
      <c r="A58" t="s">
        <v>71</v>
      </c>
      <c r="B58" t="s">
        <v>70</v>
      </c>
      <c r="C58" t="b">
        <f t="shared" si="14"/>
        <v>0</v>
      </c>
      <c r="D58">
        <f t="shared" si="15"/>
        <v>21</v>
      </c>
      <c r="E58">
        <f t="shared" si="9"/>
        <v>0.95238095238095233</v>
      </c>
      <c r="F58">
        <f t="shared" si="10"/>
        <v>0.95238095238095233</v>
      </c>
      <c r="G58">
        <f t="shared" si="11"/>
        <v>0.5</v>
      </c>
      <c r="H58">
        <f t="shared" si="16"/>
        <v>0.960952380952381</v>
      </c>
      <c r="I58">
        <f t="shared" si="17"/>
        <v>0.95238095238095233</v>
      </c>
      <c r="J58">
        <f t="shared" si="18"/>
        <v>0.95238095238095233</v>
      </c>
      <c r="K58">
        <f t="shared" si="19"/>
        <v>0.7142857142857143</v>
      </c>
      <c r="L58">
        <f t="shared" si="20"/>
        <v>0.66666666666666663</v>
      </c>
      <c r="M58">
        <f t="shared" si="21"/>
        <v>0.95238095238095233</v>
      </c>
      <c r="N58">
        <f t="shared" si="22"/>
        <v>0.66666666666666663</v>
      </c>
      <c r="O58">
        <f t="shared" si="12"/>
        <v>0.82704761904761914</v>
      </c>
      <c r="P58" t="str">
        <f t="shared" si="13"/>
        <v>{"Average":0.827047619047619,"EditSimilarity":0.952380952380952,"HammingSimilarity":0.952380952380952,"JaccardIndex":0.5,"JaroWinklerSimilarity":0.960952380952381,"LevenshteinSimilarity":0.952380952380952,"LongestCommonSubsequenceSimilarity":0.952380952380952,"LongestCommonSubstringSimilarity":0.714285714285714,"OverlapCoefficient":0.666666666666667,"RatcliffObershelpSimilarity":0.952380952380952,"SorensenDiceCoefficient":0.666666666666667,"Source":"Indicator if Retired?","Target":"Indicator if Redired?"},</v>
      </c>
    </row>
    <row r="59" spans="1:16" x14ac:dyDescent="0.25">
      <c r="A59" t="s">
        <v>139</v>
      </c>
      <c r="B59" t="s">
        <v>138</v>
      </c>
      <c r="C59" t="b">
        <f t="shared" si="14"/>
        <v>0</v>
      </c>
      <c r="D59">
        <f t="shared" si="15"/>
        <v>40</v>
      </c>
      <c r="E59">
        <f t="shared" si="9"/>
        <v>0.97499999999999998</v>
      </c>
      <c r="F59">
        <f t="shared" si="10"/>
        <v>0.97499999999999998</v>
      </c>
      <c r="G59">
        <f t="shared" si="11"/>
        <v>0.26984126984126983</v>
      </c>
      <c r="H59">
        <f t="shared" si="16"/>
        <v>0.99</v>
      </c>
      <c r="I59">
        <f t="shared" si="17"/>
        <v>0.97499999999999998</v>
      </c>
      <c r="J59">
        <f t="shared" si="18"/>
        <v>0.97499999999999998</v>
      </c>
      <c r="K59">
        <f t="shared" si="19"/>
        <v>0.625</v>
      </c>
      <c r="L59">
        <f t="shared" si="20"/>
        <v>0.42499999999999999</v>
      </c>
      <c r="M59">
        <f t="shared" si="21"/>
        <v>0.97499999999999998</v>
      </c>
      <c r="N59">
        <f t="shared" si="22"/>
        <v>0.42499999999999999</v>
      </c>
      <c r="O59">
        <f t="shared" si="12"/>
        <v>0.76098412698412687</v>
      </c>
      <c r="P59" t="str">
        <f t="shared" si="13"/>
        <v>{"Average":0.760984126984127,"EditSimilarity":0.975,"HammingSimilarity":0.975,"JaccardIndex":0.26984126984127,"JaroWinklerSimilarity":0.99,"LevenshteinSimilarity":0.975,"LongestCommonSubsequenceSimilarity":0.975,"LongestCommonSubstringSimilarity":0.625,"OverlapCoefficient":0.425,"RatcliffObershelpSimilarity":0.975,"SorensenDiceCoefficient":0.425,"Source":"Initial_Adjustment_Interest_Rate_Ceiling","Target":"Initial_Adjustwent_Interest_Rate_Ceiling"},</v>
      </c>
    </row>
    <row r="60" spans="1:16" x14ac:dyDescent="0.25">
      <c r="A60" t="s">
        <v>39</v>
      </c>
      <c r="B60" t="s">
        <v>38</v>
      </c>
      <c r="C60" t="b">
        <f t="shared" si="14"/>
        <v>0</v>
      </c>
      <c r="D60">
        <f t="shared" si="15"/>
        <v>15</v>
      </c>
      <c r="E60">
        <f t="shared" si="9"/>
        <v>0.93333333333333335</v>
      </c>
      <c r="F60">
        <f t="shared" si="10"/>
        <v>0.93333333333333335</v>
      </c>
      <c r="G60">
        <f t="shared" si="11"/>
        <v>0.42857142857142855</v>
      </c>
      <c r="H60">
        <f t="shared" si="16"/>
        <v>0.97333333333333338</v>
      </c>
      <c r="I60">
        <f t="shared" si="17"/>
        <v>0.93333333333333335</v>
      </c>
      <c r="J60">
        <f t="shared" si="18"/>
        <v>0.93333333333333335</v>
      </c>
      <c r="K60">
        <f t="shared" si="19"/>
        <v>0.6</v>
      </c>
      <c r="L60">
        <f t="shared" si="20"/>
        <v>0.6</v>
      </c>
      <c r="M60">
        <f t="shared" si="21"/>
        <v>0.93333333333333335</v>
      </c>
      <c r="N60">
        <f t="shared" si="22"/>
        <v>0.6</v>
      </c>
      <c r="O60">
        <f t="shared" si="12"/>
        <v>0.78685714285714281</v>
      </c>
      <c r="P60" t="str">
        <f t="shared" si="13"/>
        <v>{"Average":0.786857142857143,"EditSimilarity":0.933333333333333,"HammingSimilarity":0.933333333333333,"JaccardIndex":0.428571428571429,"JaroWinklerSimilarity":0.973333333333333,"LevenshteinSimilarity":0.933333333333333,"LongestCommonSubsequenceSimilarity":0.933333333333333,"LongestCommonSubstringSimilarity":0.6,"OverlapCoefficient":0.6,"RatcliffObershelpSimilarity":0.933333333333333,"SorensenDiceCoefficient":0.6,"Source":"ip-last-tran-dt","Target":"ip-last-tian-dt"},</v>
      </c>
    </row>
    <row r="61" spans="1:16" x14ac:dyDescent="0.25">
      <c r="A61" t="s">
        <v>103</v>
      </c>
      <c r="B61" t="s">
        <v>103</v>
      </c>
      <c r="C61" t="b">
        <f t="shared" si="14"/>
        <v>1</v>
      </c>
      <c r="D61">
        <f t="shared" si="15"/>
        <v>27</v>
      </c>
      <c r="E61">
        <f t="shared" si="9"/>
        <v>1</v>
      </c>
      <c r="F61">
        <f t="shared" si="10"/>
        <v>1</v>
      </c>
      <c r="G61">
        <f t="shared" si="11"/>
        <v>1</v>
      </c>
      <c r="H61">
        <f t="shared" si="16"/>
        <v>1</v>
      </c>
      <c r="I61">
        <f t="shared" si="17"/>
        <v>1</v>
      </c>
      <c r="J61">
        <f t="shared" si="18"/>
        <v>1</v>
      </c>
      <c r="K61">
        <f t="shared" si="19"/>
        <v>1</v>
      </c>
      <c r="L61">
        <f t="shared" si="20"/>
        <v>1</v>
      </c>
      <c r="M61">
        <f t="shared" si="21"/>
        <v>1</v>
      </c>
      <c r="N61">
        <f t="shared" si="22"/>
        <v>1</v>
      </c>
      <c r="O61">
        <f t="shared" si="12"/>
        <v>1</v>
      </c>
      <c r="P61" t="str">
        <f t="shared" si="13"/>
        <v>{"Average":1,"EditSimilarity":1,"HammingSimilarity":1,"JaccardIndex":1,"JaroWinklerSimilarity":1,"LevenshteinSimilarity":1,"LongestCommonSubsequenceSimilarity":1,"LongestCommonSubstringSimilarity":1,"OverlapCoefficient":1,"RatcliffObershelpSimilarity":1,"SorensenDiceCoefficient":1,"Source":"issuer_credit_rating_moodys","Target":"issuer_credit_rating_moodys"},</v>
      </c>
    </row>
    <row r="62" spans="1:16" x14ac:dyDescent="0.25">
      <c r="A62" t="s">
        <v>171</v>
      </c>
      <c r="B62" t="s">
        <v>172</v>
      </c>
      <c r="C62" t="b">
        <f t="shared" si="14"/>
        <v>0</v>
      </c>
      <c r="D62">
        <f t="shared" si="15"/>
        <v>4</v>
      </c>
      <c r="E62">
        <f t="shared" si="9"/>
        <v>0.5</v>
      </c>
      <c r="F62">
        <f t="shared" si="10"/>
        <v>0</v>
      </c>
      <c r="G62">
        <f t="shared" si="11"/>
        <v>0.42857142857142855</v>
      </c>
      <c r="H62">
        <f t="shared" si="16"/>
        <v>0.82499999999999996</v>
      </c>
      <c r="I62">
        <f t="shared" si="17"/>
        <v>0.5</v>
      </c>
      <c r="J62">
        <f t="shared" si="18"/>
        <v>0.75</v>
      </c>
      <c r="K62">
        <f t="shared" si="19"/>
        <v>0.5</v>
      </c>
      <c r="L62">
        <f t="shared" si="20"/>
        <v>0.75</v>
      </c>
      <c r="M62">
        <f t="shared" si="21"/>
        <v>0.6</v>
      </c>
      <c r="N62">
        <f t="shared" si="22"/>
        <v>0.6</v>
      </c>
      <c r="O62">
        <f t="shared" si="12"/>
        <v>0.54535714285714276</v>
      </c>
      <c r="P62" t="str">
        <f t="shared" si="13"/>
        <v>{"Average":0.545357142857143,"EditSimilarity":0.5,"HammingSimilarity":0,"JaccardIndex":0.428571428571429,"JaroWinklerSimilarity":0.825,"LevenshteinSimilarity":0.5,"LongestCommonSubsequenceSimilarity":0.75,"LongestCommonSubstringSimilarity":0.5,"OverlapCoefficient":0.75,"RatcliffObershelpSimilarity":0.6,"SorensenDiceCoefficient":0.6,"Source":"John","Target":"Joanne"},</v>
      </c>
    </row>
    <row r="63" spans="1:16" x14ac:dyDescent="0.25">
      <c r="A63" t="s">
        <v>46</v>
      </c>
      <c r="B63" t="s">
        <v>46</v>
      </c>
      <c r="C63" t="b">
        <f t="shared" si="14"/>
        <v>1</v>
      </c>
      <c r="D63">
        <f t="shared" si="15"/>
        <v>17</v>
      </c>
      <c r="E63">
        <f t="shared" si="9"/>
        <v>1</v>
      </c>
      <c r="F63">
        <f t="shared" si="10"/>
        <v>1</v>
      </c>
      <c r="G63">
        <f t="shared" si="11"/>
        <v>1</v>
      </c>
      <c r="H63">
        <f t="shared" si="16"/>
        <v>1</v>
      </c>
      <c r="I63">
        <f t="shared" si="17"/>
        <v>1</v>
      </c>
      <c r="J63">
        <f t="shared" si="18"/>
        <v>1</v>
      </c>
      <c r="K63">
        <f t="shared" si="19"/>
        <v>1</v>
      </c>
      <c r="L63">
        <f t="shared" si="20"/>
        <v>1</v>
      </c>
      <c r="M63">
        <f t="shared" si="21"/>
        <v>1</v>
      </c>
      <c r="N63">
        <f t="shared" si="22"/>
        <v>1</v>
      </c>
      <c r="O63">
        <f t="shared" si="12"/>
        <v>1</v>
      </c>
      <c r="P63" t="str">
        <f t="shared" si="13"/>
        <v>{"Average":1,"EditSimilarity":1,"HammingSimilarity":1,"JaccardIndex":1,"JaroWinklerSimilarity":1,"LevenshteinSimilarity":1,"LongestCommonSubsequenceSimilarity":1,"LongestCommonSubstringSimilarity":1,"OverlapCoefficient":1,"RatcliffObershelpSimilarity":1,"SorensenDiceCoefficient":1,"Source":"JOINT_INV_AUTH_06","Target":"JOINT_INV_AUTH_06"},</v>
      </c>
    </row>
    <row r="64" spans="1:16" x14ac:dyDescent="0.25">
      <c r="A64" t="s">
        <v>179</v>
      </c>
      <c r="B64" t="s">
        <v>180</v>
      </c>
      <c r="C64" t="b">
        <f t="shared" si="14"/>
        <v>0</v>
      </c>
      <c r="D64">
        <f t="shared" si="15"/>
        <v>7</v>
      </c>
      <c r="E64">
        <f t="shared" si="9"/>
        <v>0.5714285714285714</v>
      </c>
      <c r="F64">
        <f t="shared" si="10"/>
        <v>0.5714285714285714</v>
      </c>
      <c r="G64">
        <f t="shared" si="11"/>
        <v>0.55555555555555558</v>
      </c>
      <c r="H64">
        <f t="shared" si="16"/>
        <v>0.84761904761904761</v>
      </c>
      <c r="I64">
        <f t="shared" si="17"/>
        <v>0.5714285714285714</v>
      </c>
      <c r="J64">
        <f t="shared" si="18"/>
        <v>0.7142857142857143</v>
      </c>
      <c r="K64">
        <f t="shared" si="19"/>
        <v>0.2857142857142857</v>
      </c>
      <c r="L64">
        <f t="shared" si="20"/>
        <v>0.7142857142857143</v>
      </c>
      <c r="M64">
        <f t="shared" si="21"/>
        <v>0.7142857142857143</v>
      </c>
      <c r="N64">
        <f t="shared" si="22"/>
        <v>0.7142857142857143</v>
      </c>
      <c r="O64">
        <f t="shared" si="12"/>
        <v>0.62603174603174605</v>
      </c>
      <c r="P64" t="str">
        <f t="shared" si="13"/>
        <v>{"Average":0.626031746031746,"EditSimilarity":0.571428571428571,"HammingSimilarity":0.571428571428571,"JaccardIndex":0.555555555555556,"JaroWinklerSimilarity":0.847619047619048,"LevenshteinSimilarity":0.571428571428571,"LongestCommonSubsequenceSimilarity":0.714285714285714,"LongestCommonSubstringSimilarity":0.285714285714286,"OverlapCoefficient":0.714285714285714,"RatcliffObershelpSimilarity":0.714285714285714,"SorensenDiceCoefficient":0.714285714285714,"Source":"karolin","Target":"kathrin"},</v>
      </c>
    </row>
    <row r="65" spans="1:16" x14ac:dyDescent="0.25">
      <c r="A65" t="s">
        <v>57</v>
      </c>
      <c r="B65" t="s">
        <v>57</v>
      </c>
      <c r="C65" t="b">
        <f t="shared" si="14"/>
        <v>1</v>
      </c>
      <c r="D65">
        <f t="shared" si="15"/>
        <v>19</v>
      </c>
      <c r="E65">
        <f t="shared" ref="E65:E116" si="23">EditSimilarity(A65, B65)</f>
        <v>1</v>
      </c>
      <c r="F65">
        <f t="shared" si="10"/>
        <v>1</v>
      </c>
      <c r="G65">
        <f t="shared" ref="G65:G116" si="24">JaccardIndex(A65, B65)</f>
        <v>1</v>
      </c>
      <c r="H65">
        <f t="shared" ref="H65:H116" si="25">JaroWinklerSimilarity(A65, B65)</f>
        <v>1</v>
      </c>
      <c r="I65">
        <f t="shared" ref="I65:I116" si="26">LevenshteinSimilarity(A65, B65)</f>
        <v>1</v>
      </c>
      <c r="J65">
        <f t="shared" ref="J65:J116" si="27">LongestCommonSubsequenceSimilarity(A65, B65)</f>
        <v>1</v>
      </c>
      <c r="K65">
        <f t="shared" ref="K65:K116" si="28">LongestCommonSubstringSimilarity(A65, B65)</f>
        <v>1</v>
      </c>
      <c r="L65">
        <f t="shared" ref="L65:L116" si="29">OverlapCoefficient(A65, B65)</f>
        <v>1</v>
      </c>
      <c r="M65">
        <f t="shared" ref="M65:M116" si="30">RatcliffObershelpSimilarity(A65, B65)</f>
        <v>1</v>
      </c>
      <c r="N65">
        <f t="shared" ref="N65:N116" si="31">SorensenDiceCoefficient(A65, B65)</f>
        <v>1</v>
      </c>
      <c r="O65">
        <f t="shared" si="12"/>
        <v>1</v>
      </c>
      <c r="P65" t="str">
        <f t="shared" si="13"/>
        <v>{"Average":1,"EditSimilarity":1,"HammingSimilarity":1,"JaccardIndex":1,"JaroWinklerSimilarity":1,"LevenshteinSimilarity":1,"LongestCommonSubsequenceSimilarity":1,"LongestCommonSubstringSimilarity":1,"OverlapCoefficient":1,"RatcliffObershelpSimilarity":1,"SorensenDiceCoefficient":1,"Source":"KeywordFieldPairKey","Target":"KeywordFieldPairKey"},</v>
      </c>
    </row>
    <row r="66" spans="1:16" x14ac:dyDescent="0.25">
      <c r="A66" t="s">
        <v>77</v>
      </c>
      <c r="B66" t="s">
        <v>76</v>
      </c>
      <c r="C66" t="b">
        <f t="shared" ref="C66:C97" si="32">EXACT(A66,B66)</f>
        <v>0</v>
      </c>
      <c r="D66">
        <f t="shared" ref="D66:D97" si="33">LEN(A66)</f>
        <v>22</v>
      </c>
      <c r="E66">
        <f t="shared" si="23"/>
        <v>0.95454545454545459</v>
      </c>
      <c r="F66">
        <f t="shared" si="10"/>
        <v>0.95454545454545459</v>
      </c>
      <c r="G66">
        <f t="shared" si="24"/>
        <v>0.41935483870967744</v>
      </c>
      <c r="H66">
        <f t="shared" si="25"/>
        <v>0.98181818181818181</v>
      </c>
      <c r="I66">
        <f t="shared" si="26"/>
        <v>0.95454545454545459</v>
      </c>
      <c r="J66">
        <f t="shared" si="27"/>
        <v>0.95454545454545459</v>
      </c>
      <c r="K66">
        <f t="shared" si="28"/>
        <v>0.72727272727272729</v>
      </c>
      <c r="L66">
        <f t="shared" si="29"/>
        <v>0.59090909090909094</v>
      </c>
      <c r="M66">
        <f t="shared" si="30"/>
        <v>0.95454545454545459</v>
      </c>
      <c r="N66">
        <f t="shared" si="31"/>
        <v>0.59090909090909094</v>
      </c>
      <c r="O66">
        <f t="shared" si="12"/>
        <v>0.80829912023460437</v>
      </c>
      <c r="P66" t="str">
        <f t="shared" si="13"/>
        <v>{"Average":0.808299120234604,"EditSimilarity":0.954545454545455,"HammingSimilarity":0.954545454545455,"JaccardIndex":0.419354838709677,"JaroWinklerSimilarity":0.981818181818182,"LevenshteinSimilarity":0.954545454545455,"LongestCommonSubsequenceSimilarity":0.954545454545455,"LongestCommonSubstringSimilarity":0.727272727272727,"OverlapCoefficient":0.590909090909091,"RatcliffObershelpSimilarity":0.954545454545455,"SorensenDiceCoefficient":0.590909090909091,"Source":"lease_segment7_default","Target":"lease_segment7_dmfault"},</v>
      </c>
    </row>
    <row r="67" spans="1:16" x14ac:dyDescent="0.25">
      <c r="A67" t="s">
        <v>145</v>
      </c>
      <c r="B67" t="s">
        <v>144</v>
      </c>
      <c r="C67" t="b">
        <f t="shared" si="32"/>
        <v>0</v>
      </c>
      <c r="D67">
        <f t="shared" si="33"/>
        <v>43</v>
      </c>
      <c r="E67">
        <f t="shared" si="23"/>
        <v>0.97674418604651159</v>
      </c>
      <c r="F67">
        <f t="shared" ref="F67:F116" si="34">HammingSimilarity(A67, B67)</f>
        <v>0.97674418604651159</v>
      </c>
      <c r="G67">
        <f t="shared" si="24"/>
        <v>0.24637681159420291</v>
      </c>
      <c r="H67">
        <f t="shared" si="25"/>
        <v>0.97165005537098559</v>
      </c>
      <c r="I67">
        <f t="shared" si="26"/>
        <v>0.97674418604651159</v>
      </c>
      <c r="J67">
        <f t="shared" si="27"/>
        <v>0.97674418604651159</v>
      </c>
      <c r="K67">
        <f t="shared" si="28"/>
        <v>0.69767441860465118</v>
      </c>
      <c r="L67">
        <f t="shared" si="29"/>
        <v>0.39534883720930231</v>
      </c>
      <c r="M67">
        <f t="shared" si="30"/>
        <v>0.97674418604651159</v>
      </c>
      <c r="N67">
        <f t="shared" si="31"/>
        <v>0.39534883720930231</v>
      </c>
      <c r="O67">
        <f t="shared" ref="O67:O116" si="35">AVERAGE(E67,F67,G67,H67,I67,J67,K67,L67,M67,N67)</f>
        <v>0.75901198902210021</v>
      </c>
      <c r="P67" t="str">
        <f t="shared" ref="P67:P116" si="36">"{" &amp;
CHAR(34) &amp; "Average" &amp; CHAR(34) &amp; ":" &amp; O67 &amp; "," &amp;
CHAR(34) &amp; "EditSimilarity" &amp; CHAR(34) &amp; ":" &amp;  E67 &amp; "," &amp;
CHAR(34) &amp; "HammingSimilarity" &amp; CHAR(34) &amp; ":" &amp;  F67 &amp; "," &amp;
CHAR(34) &amp; "JaccardIndex" &amp; CHAR(34) &amp; ":" &amp;  G67 &amp; "," &amp;
CHAR(34) &amp; "JaroWinklerSimilarity" &amp; CHAR(34) &amp; ":" &amp; H67 &amp; "," &amp;
CHAR(34) &amp; "LevenshteinSimilarity" &amp; CHAR(34) &amp; ":" &amp; I67 &amp; "," &amp;
CHAR(34) &amp; "LongestCommonSubsequenceSimilarity" &amp; CHAR(34) &amp; ":" &amp; J67 &amp; "," &amp;
CHAR(34) &amp; "LongestCommonSubstringSimilarity" &amp; CHAR(34) &amp; ":" &amp;  K67 &amp; "," &amp;
CHAR(34) &amp; "OverlapCoefficient" &amp; CHAR(34) &amp; ":" &amp; L67 &amp; "," &amp;
CHAR(34) &amp; "RatcliffObershelpSimilarity" &amp; CHAR(34) &amp; ":" &amp; M67 &amp; "," &amp;
CHAR(34) &amp; "SorensenDiceCoefficient" &amp; CHAR(34) &amp; ":" &amp; N67 &amp; "," &amp;
CHAR(34) &amp; "Source" &amp; CHAR(34) &amp; ":" &amp; CHAR(34) &amp; A67 &amp; CHAR(34) &amp; "," &amp;
CHAR(34) &amp; "Target" &amp; CHAR(34) &amp; ":" &amp; CHAR(34) &amp; B67 &amp; CHAR(34) &amp; "},"</f>
        <v>{"Average":0.7590119890221,"EditSimilarity":0.976744186046512,"HammingSimilarity":0.976744186046512,"JaccardIndex":0.246376811594203,"JaroWinklerSimilarity":0.971650055370986,"LevenshteinSimilarity":0.976744186046512,"LongestCommonSubsequenceSimilarity":0.976744186046512,"LongestCommonSubstringSimilarity":0.697674418604651,"OverlapCoefficient":0.395348837209302,"RatcliffObershelpSimilarity":0.976744186046512,"SorensenDiceCoefficient":0.395348837209302,"Source":"Lifetime_Max_Interest_Rate_Increase_Percent","Target":"Lifetime_Max_Interest_Rate_Inciease_Percent"},</v>
      </c>
    </row>
    <row r="68" spans="1:16" x14ac:dyDescent="0.25">
      <c r="A68" t="s">
        <v>115</v>
      </c>
      <c r="B68" t="s">
        <v>114</v>
      </c>
      <c r="C68" t="b">
        <f t="shared" si="32"/>
        <v>0</v>
      </c>
      <c r="D68">
        <f t="shared" si="33"/>
        <v>29</v>
      </c>
      <c r="E68">
        <f t="shared" si="23"/>
        <v>0.93103448275862066</v>
      </c>
      <c r="F68">
        <f t="shared" si="34"/>
        <v>0.93103448275862066</v>
      </c>
      <c r="G68">
        <f t="shared" si="24"/>
        <v>0.31818181818181818</v>
      </c>
      <c r="H68">
        <f t="shared" si="25"/>
        <v>0.93908045977011501</v>
      </c>
      <c r="I68">
        <f t="shared" si="26"/>
        <v>0.93103448275862066</v>
      </c>
      <c r="J68">
        <f t="shared" si="27"/>
        <v>0.93103448275862066</v>
      </c>
      <c r="K68">
        <f t="shared" si="28"/>
        <v>0.55172413793103448</v>
      </c>
      <c r="L68">
        <f t="shared" si="29"/>
        <v>0.48275862068965519</v>
      </c>
      <c r="M68">
        <f t="shared" si="30"/>
        <v>0.93103448275862066</v>
      </c>
      <c r="N68">
        <f t="shared" si="31"/>
        <v>0.48275862068965519</v>
      </c>
      <c r="O68">
        <f t="shared" si="35"/>
        <v>0.74296760710553822</v>
      </c>
      <c r="P68" t="str">
        <f t="shared" si="36"/>
        <v>{"Average":0.742967607105538,"EditSimilarity":0.931034482758621,"HammingSimilarity":0.931034482758621,"JaccardIndex":0.318181818181818,"JaroWinklerSimilarity":0.939080459770115,"LevenshteinSimilarity":0.931034482758621,"LongestCommonSubsequenceSimilarity":0.931034482758621,"LongestCommonSubstringSimilarity":0.551724137931034,"OverlapCoefficient":0.482758620689655,"RatcliffObershelpSimilarity":0.931034482758621,"SorensenDiceCoefficient":0.482758620689655,"Source":"Loan Origination Company City","Target":"Loan Originurion Company City"},</v>
      </c>
    </row>
    <row r="69" spans="1:16" x14ac:dyDescent="0.25">
      <c r="A69" t="s">
        <v>126</v>
      </c>
      <c r="B69" t="s">
        <v>125</v>
      </c>
      <c r="C69" t="b">
        <f t="shared" si="32"/>
        <v>0</v>
      </c>
      <c r="D69">
        <f t="shared" si="33"/>
        <v>32</v>
      </c>
      <c r="E69">
        <f t="shared" si="23"/>
        <v>0.96875</v>
      </c>
      <c r="F69">
        <f t="shared" si="34"/>
        <v>0.96875</v>
      </c>
      <c r="G69">
        <f t="shared" si="24"/>
        <v>0.36170212765957449</v>
      </c>
      <c r="H69">
        <f t="shared" si="25"/>
        <v>0.94556451612903225</v>
      </c>
      <c r="I69">
        <f t="shared" si="26"/>
        <v>0.96875</v>
      </c>
      <c r="J69">
        <f t="shared" si="27"/>
        <v>0.96875</v>
      </c>
      <c r="K69">
        <f t="shared" si="28"/>
        <v>0.71875</v>
      </c>
      <c r="L69">
        <f t="shared" si="29"/>
        <v>0.53125</v>
      </c>
      <c r="M69">
        <f t="shared" si="30"/>
        <v>0.96875</v>
      </c>
      <c r="N69">
        <f t="shared" si="31"/>
        <v>0.53125</v>
      </c>
      <c r="O69">
        <f t="shared" si="35"/>
        <v>0.79322666437886069</v>
      </c>
      <c r="P69" t="str">
        <f t="shared" si="36"/>
        <v>{"Average":0.793226664378861,"EditSimilarity":0.96875,"HammingSimilarity":0.96875,"JaccardIndex":0.361702127659574,"JaroWinklerSimilarity":0.945564516129032,"LevenshteinSimilarity":0.96875,"LongestCommonSubsequenceSimilarity":0.96875,"LongestCommonSubstringSimilarity":0.71875,"OverlapCoefficient":0.53125,"RatcliffObershelpSimilarity":0.96875,"SorensenDiceCoefficient":0.53125,"Source":"Loan_Origination_Company_Address","Target":"Loan_Oriaination_Company_Address"},</v>
      </c>
    </row>
    <row r="70" spans="1:16" x14ac:dyDescent="0.25">
      <c r="A70" t="s">
        <v>100</v>
      </c>
      <c r="B70" t="s">
        <v>100</v>
      </c>
      <c r="C70" t="b">
        <f t="shared" si="32"/>
        <v>1</v>
      </c>
      <c r="D70">
        <f t="shared" si="33"/>
        <v>26</v>
      </c>
      <c r="E70">
        <f t="shared" si="23"/>
        <v>1</v>
      </c>
      <c r="F70">
        <f t="shared" si="34"/>
        <v>1</v>
      </c>
      <c r="G70">
        <f t="shared" si="24"/>
        <v>1</v>
      </c>
      <c r="H70">
        <f t="shared" si="25"/>
        <v>1</v>
      </c>
      <c r="I70">
        <f t="shared" si="26"/>
        <v>1</v>
      </c>
      <c r="J70">
        <f t="shared" si="27"/>
        <v>1</v>
      </c>
      <c r="K70">
        <f t="shared" si="28"/>
        <v>1</v>
      </c>
      <c r="L70">
        <f t="shared" si="29"/>
        <v>1</v>
      </c>
      <c r="M70">
        <f t="shared" si="30"/>
        <v>1</v>
      </c>
      <c r="N70">
        <f t="shared" si="31"/>
        <v>1</v>
      </c>
      <c r="O70">
        <f t="shared" si="35"/>
        <v>1</v>
      </c>
      <c r="P70" t="str">
        <f t="shared" si="36"/>
        <v>{"Average":1,"EditSimilarity":1,"HammingSimilarity":1,"JaccardIndex":1,"JaroWinklerSimilarity":1,"LevenshteinSimilarity":1,"LongestCommonSubsequenceSimilarity":1,"LongestCommonSubstringSimilarity":1,"OverlapCoefficient":1,"RatcliffObershelpSimilarity":1,"SorensenDiceCoefficient":1,"Source":"market_value_override_flag","Target":"market_value_override_flag"},</v>
      </c>
    </row>
    <row r="71" spans="1:16" x14ac:dyDescent="0.25">
      <c r="A71" t="s">
        <v>56</v>
      </c>
      <c r="B71" t="s">
        <v>55</v>
      </c>
      <c r="C71" t="b">
        <f t="shared" si="32"/>
        <v>0</v>
      </c>
      <c r="D71">
        <f t="shared" si="33"/>
        <v>19</v>
      </c>
      <c r="E71">
        <f t="shared" si="23"/>
        <v>0.94736842105263164</v>
      </c>
      <c r="F71">
        <f t="shared" si="34"/>
        <v>0</v>
      </c>
      <c r="G71">
        <f t="shared" si="24"/>
        <v>0.54166666666666663</v>
      </c>
      <c r="H71">
        <f t="shared" si="25"/>
        <v>0.98947368421052628</v>
      </c>
      <c r="I71">
        <f t="shared" si="26"/>
        <v>0.94736842105263164</v>
      </c>
      <c r="J71">
        <f t="shared" si="27"/>
        <v>1</v>
      </c>
      <c r="K71">
        <f t="shared" si="28"/>
        <v>1</v>
      </c>
      <c r="L71">
        <f t="shared" si="29"/>
        <v>0.72222222222222221</v>
      </c>
      <c r="M71">
        <f t="shared" si="30"/>
        <v>0.97297297297297303</v>
      </c>
      <c r="N71">
        <f t="shared" si="31"/>
        <v>0.70270270270270274</v>
      </c>
      <c r="O71">
        <f t="shared" si="35"/>
        <v>0.78237750908803538</v>
      </c>
      <c r="P71" t="str">
        <f t="shared" si="36"/>
        <v>{"Average":0.782377509088035,"EditSimilarity":0.947368421052632,"HammingSimilarity":0,"JaccardIndex":0.541666666666667,"JaroWinklerSimilarity":0.989473684210526,"LevenshteinSimilarity":0.947368421052632,"LongestCommonSubsequenceSimilarity":1,"LongestCommonSubstringSimilarity":1,"OverlapCoefficient":0.722222222222222,"RatcliffObershelpSimilarity":0.972972972972973,"SorensenDiceCoefficient":0.702702702702703,"Source":"MI Coverage Percent","Target":"MI Coverage Percen"},</v>
      </c>
    </row>
    <row r="72" spans="1:16" x14ac:dyDescent="0.25">
      <c r="A72" t="s">
        <v>111</v>
      </c>
      <c r="B72" t="s">
        <v>111</v>
      </c>
      <c r="C72" t="b">
        <f t="shared" si="32"/>
        <v>1</v>
      </c>
      <c r="D72">
        <f t="shared" si="33"/>
        <v>28</v>
      </c>
      <c r="E72">
        <f t="shared" si="23"/>
        <v>1</v>
      </c>
      <c r="F72">
        <f t="shared" si="34"/>
        <v>1</v>
      </c>
      <c r="G72">
        <f t="shared" si="24"/>
        <v>1</v>
      </c>
      <c r="H72">
        <f t="shared" si="25"/>
        <v>1</v>
      </c>
      <c r="I72">
        <f t="shared" si="26"/>
        <v>1</v>
      </c>
      <c r="J72">
        <f t="shared" si="27"/>
        <v>1</v>
      </c>
      <c r="K72">
        <f t="shared" si="28"/>
        <v>1</v>
      </c>
      <c r="L72">
        <f t="shared" si="29"/>
        <v>1</v>
      </c>
      <c r="M72">
        <f t="shared" si="30"/>
        <v>1</v>
      </c>
      <c r="N72">
        <f t="shared" si="31"/>
        <v>1</v>
      </c>
      <c r="O72">
        <f t="shared" si="35"/>
        <v>1</v>
      </c>
      <c r="P72" t="str">
        <f t="shared" si="36"/>
        <v>{"Average":1,"EditSimilarity":1,"HammingSimilarity":1,"JaccardIndex":1,"JaroWinklerSimilarity":1,"LevenshteinSimilarity":1,"LongestCommonSubsequenceSimilarity":1,"LongestCommonSubstringSimilarity":1,"OverlapCoefficient":1,"RatcliffObershelpSimilarity":1,"SorensenDiceCoefficient":1,"Source":"MOD_INFO_AFTER_PI_PMT_AMOUNT","Target":"MOD_INFO_AFTER_PI_PMT_AMOUNT"},</v>
      </c>
    </row>
    <row r="73" spans="1:16" x14ac:dyDescent="0.25">
      <c r="A73" t="s">
        <v>62</v>
      </c>
      <c r="B73" t="s">
        <v>62</v>
      </c>
      <c r="C73" t="b">
        <f t="shared" si="32"/>
        <v>1</v>
      </c>
      <c r="D73">
        <f t="shared" si="33"/>
        <v>20</v>
      </c>
      <c r="E73">
        <f t="shared" si="23"/>
        <v>1</v>
      </c>
      <c r="F73">
        <f t="shared" si="34"/>
        <v>1</v>
      </c>
      <c r="G73">
        <f t="shared" si="24"/>
        <v>1</v>
      </c>
      <c r="H73">
        <f t="shared" si="25"/>
        <v>1</v>
      </c>
      <c r="I73">
        <f t="shared" si="26"/>
        <v>1</v>
      </c>
      <c r="J73">
        <f t="shared" si="27"/>
        <v>1</v>
      </c>
      <c r="K73">
        <f t="shared" si="28"/>
        <v>1</v>
      </c>
      <c r="L73">
        <f t="shared" si="29"/>
        <v>1</v>
      </c>
      <c r="M73">
        <f t="shared" si="30"/>
        <v>1</v>
      </c>
      <c r="N73">
        <f t="shared" si="31"/>
        <v>1</v>
      </c>
      <c r="O73">
        <f t="shared" si="35"/>
        <v>1</v>
      </c>
      <c r="P73" t="str">
        <f t="shared" si="36"/>
        <v>{"Average":1,"EditSimilarity":1,"HammingSimilarity":1,"JaccardIndex":1,"JaroWinklerSimilarity":1,"LevenshteinSimilarity":1,"LongestCommonSubsequenceSimilarity":1,"LongestCommonSubstringSimilarity":1,"OverlapCoefficient":1,"RatcliffObershelpSimilarity":1,"SorensenDiceCoefficient":1,"Source":"next_pmt_change_date","Target":"next_pmt_change_date"},</v>
      </c>
    </row>
    <row r="74" spans="1:16" x14ac:dyDescent="0.25">
      <c r="A74" t="s">
        <v>151</v>
      </c>
      <c r="B74" t="s">
        <v>152</v>
      </c>
      <c r="C74" t="b">
        <f t="shared" si="32"/>
        <v>0</v>
      </c>
      <c r="D74">
        <f t="shared" si="33"/>
        <v>5</v>
      </c>
      <c r="E74">
        <f t="shared" si="23"/>
        <v>0</v>
      </c>
      <c r="F74">
        <f t="shared" si="34"/>
        <v>0</v>
      </c>
      <c r="G74">
        <f t="shared" si="24"/>
        <v>1</v>
      </c>
      <c r="H74">
        <f t="shared" si="25"/>
        <v>0.6</v>
      </c>
      <c r="I74">
        <f t="shared" si="26"/>
        <v>0.19999999999999996</v>
      </c>
      <c r="J74">
        <f t="shared" si="27"/>
        <v>0.6</v>
      </c>
      <c r="K74">
        <f t="shared" si="28"/>
        <v>0.4</v>
      </c>
      <c r="L74">
        <f t="shared" si="29"/>
        <v>1</v>
      </c>
      <c r="M74">
        <f t="shared" si="30"/>
        <v>1</v>
      </c>
      <c r="N74">
        <f t="shared" si="31"/>
        <v>1</v>
      </c>
      <c r="O74">
        <f t="shared" si="35"/>
        <v>0.57999999999999996</v>
      </c>
      <c r="P74" t="str">
        <f t="shared" si="36"/>
        <v>{"Average":0.58,"EditSimilarity":0,"HammingSimilarity":0,"JaccardIndex":1,"JaroWinklerSimilarity":0.6,"LevenshteinSimilarity":0.2,"LongestCommonSubsequenceSimilarity":0.6,"LongestCommonSubstringSimilarity":0.4,"OverlapCoefficient":1,"RatcliffObershelpSimilarity":1,"SorensenDiceCoefficient":1,"Source":"niche","Target":"chien"},</v>
      </c>
    </row>
    <row r="75" spans="1:16" x14ac:dyDescent="0.25">
      <c r="A75" t="s">
        <v>181</v>
      </c>
      <c r="B75" t="s">
        <v>182</v>
      </c>
      <c r="C75" t="b">
        <f t="shared" si="32"/>
        <v>0</v>
      </c>
      <c r="D75">
        <f t="shared" si="33"/>
        <v>5</v>
      </c>
      <c r="E75">
        <f t="shared" si="23"/>
        <v>0.4</v>
      </c>
      <c r="F75">
        <f t="shared" si="34"/>
        <v>0.4</v>
      </c>
      <c r="G75">
        <f t="shared" si="24"/>
        <v>0.25</v>
      </c>
      <c r="H75">
        <f t="shared" si="25"/>
        <v>0.6</v>
      </c>
      <c r="I75">
        <f t="shared" si="26"/>
        <v>0.4</v>
      </c>
      <c r="J75">
        <f t="shared" si="27"/>
        <v>0.4</v>
      </c>
      <c r="K75">
        <f t="shared" si="28"/>
        <v>0.4</v>
      </c>
      <c r="L75">
        <f t="shared" si="29"/>
        <v>0.4</v>
      </c>
      <c r="M75">
        <f t="shared" si="30"/>
        <v>0.4</v>
      </c>
      <c r="N75">
        <f t="shared" si="31"/>
        <v>0.4</v>
      </c>
      <c r="O75">
        <f t="shared" si="35"/>
        <v>0.40499999999999997</v>
      </c>
      <c r="P75" t="str">
        <f t="shared" si="36"/>
        <v>{"Average":0.405,"EditSimilarity":0.4,"HammingSimilarity":0.4,"JaccardIndex":0.25,"JaroWinklerSimilarity":0.6,"LevenshteinSimilarity":0.4,"LongestCommonSubsequenceSimilarity":0.4,"LongestCommonSubstringSimilarity":0.4,"OverlapCoefficient":0.4,"RatcliffObershelpSimilarity":0.4,"SorensenDiceCoefficient":0.4,"Source":"night","Target":"yacht"},</v>
      </c>
    </row>
    <row r="76" spans="1:16" x14ac:dyDescent="0.25">
      <c r="A76" t="s">
        <v>110</v>
      </c>
      <c r="B76" t="s">
        <v>110</v>
      </c>
      <c r="C76" t="b">
        <f t="shared" si="32"/>
        <v>1</v>
      </c>
      <c r="D76">
        <f t="shared" si="33"/>
        <v>28</v>
      </c>
      <c r="E76">
        <f t="shared" si="23"/>
        <v>1</v>
      </c>
      <c r="F76">
        <f t="shared" si="34"/>
        <v>1</v>
      </c>
      <c r="G76">
        <f t="shared" si="24"/>
        <v>1</v>
      </c>
      <c r="H76">
        <f t="shared" si="25"/>
        <v>1</v>
      </c>
      <c r="I76">
        <f t="shared" si="26"/>
        <v>1</v>
      </c>
      <c r="J76">
        <f t="shared" si="27"/>
        <v>1</v>
      </c>
      <c r="K76">
        <f t="shared" si="28"/>
        <v>1</v>
      </c>
      <c r="L76">
        <f t="shared" si="29"/>
        <v>1</v>
      </c>
      <c r="M76">
        <f t="shared" si="30"/>
        <v>1</v>
      </c>
      <c r="N76">
        <f t="shared" si="31"/>
        <v>1</v>
      </c>
      <c r="O76">
        <f t="shared" si="35"/>
        <v>1</v>
      </c>
      <c r="P76" t="str">
        <f t="shared" si="36"/>
        <v>{"Average":1,"EditSimilarity":1,"HammingSimilarity":1,"JaccardIndex":1,"JaroWinklerSimilarity":1,"LevenshteinSimilarity":1,"LongestCommonSubsequenceSimilarity":1,"LongestCommonSubstringSimilarity":1,"OverlapCoefficient":1,"RatcliffObershelpSimilarity":1,"SorensenDiceCoefficient":1,"Source":"NON_REC_CORP_ADVANCE_BALANCE","Target":"NON_REC_CORP_ADVANCE_BALANCE"},</v>
      </c>
    </row>
    <row r="77" spans="1:16" x14ac:dyDescent="0.25">
      <c r="A77" t="s">
        <v>80</v>
      </c>
      <c r="B77" t="s">
        <v>80</v>
      </c>
      <c r="C77" t="b">
        <f t="shared" si="32"/>
        <v>1</v>
      </c>
      <c r="D77">
        <f t="shared" si="33"/>
        <v>23</v>
      </c>
      <c r="E77">
        <f t="shared" si="23"/>
        <v>1</v>
      </c>
      <c r="F77">
        <f t="shared" si="34"/>
        <v>1</v>
      </c>
      <c r="G77">
        <f t="shared" si="24"/>
        <v>1</v>
      </c>
      <c r="H77">
        <f t="shared" si="25"/>
        <v>1</v>
      </c>
      <c r="I77">
        <f t="shared" si="26"/>
        <v>1</v>
      </c>
      <c r="J77">
        <f t="shared" si="27"/>
        <v>1</v>
      </c>
      <c r="K77">
        <f t="shared" si="28"/>
        <v>1</v>
      </c>
      <c r="L77">
        <f t="shared" si="29"/>
        <v>1</v>
      </c>
      <c r="M77">
        <f t="shared" si="30"/>
        <v>1</v>
      </c>
      <c r="N77">
        <f t="shared" si="31"/>
        <v>1</v>
      </c>
      <c r="O77">
        <f t="shared" si="35"/>
        <v>1</v>
      </c>
      <c r="P77" t="str">
        <f t="shared" si="36"/>
        <v>{"Average":1,"EditSimilarity":1,"HammingSimilarity":1,"JaccardIndex":1,"JaroWinklerSimilarity":1,"LevenshteinSimilarity":1,"LongestCommonSubsequenceSimilarity":1,"LongestCommonSubstringSimilarity":1,"OverlapCoefficient":1,"RatcliffObershelpSimilarity":1,"SorensenDiceCoefficient":1,"Source":"optional-line-placement","Target":"optional-line-placement"},</v>
      </c>
    </row>
    <row r="78" spans="1:16" x14ac:dyDescent="0.25">
      <c r="A78" t="s">
        <v>99</v>
      </c>
      <c r="B78" t="s">
        <v>98</v>
      </c>
      <c r="C78" t="b">
        <f t="shared" si="32"/>
        <v>0</v>
      </c>
      <c r="D78">
        <f t="shared" si="33"/>
        <v>26</v>
      </c>
      <c r="E78">
        <f t="shared" si="23"/>
        <v>0.96153846153846156</v>
      </c>
      <c r="F78">
        <f t="shared" si="34"/>
        <v>0.96153846153846156</v>
      </c>
      <c r="G78">
        <f t="shared" si="24"/>
        <v>0.36842105263157893</v>
      </c>
      <c r="H78">
        <f t="shared" si="25"/>
        <v>0.98461538461538456</v>
      </c>
      <c r="I78">
        <f t="shared" si="26"/>
        <v>0.96153846153846156</v>
      </c>
      <c r="J78">
        <f t="shared" si="27"/>
        <v>0.96153846153846156</v>
      </c>
      <c r="K78">
        <f t="shared" si="28"/>
        <v>0.61538461538461542</v>
      </c>
      <c r="L78">
        <f t="shared" si="29"/>
        <v>0.53846153846153844</v>
      </c>
      <c r="M78">
        <f t="shared" si="30"/>
        <v>0.96153846153846156</v>
      </c>
      <c r="N78">
        <f t="shared" si="31"/>
        <v>0.53846153846153844</v>
      </c>
      <c r="O78">
        <f t="shared" si="35"/>
        <v>0.7853036437246963</v>
      </c>
      <c r="P78" t="str">
        <f t="shared" si="36"/>
        <v>{"Average":0.785303643724696,"EditSimilarity":0.961538461538462,"HammingSimilarity":0.961538461538462,"JaccardIndex":0.368421052631579,"JaroWinklerSimilarity":0.984615384615385,"LevenshteinSimilarity":0.961538461538462,"LongestCommonSubsequenceSimilarity":0.961538461538462,"LongestCommonSubstringSimilarity":0.615384615384615,"OverlapCoefficient":0.538461538461538,"RatcliffObershelpSimilarity":0.961538461538462,"SorensenDiceCoefficient":0.538461538461538,"Source":"Order Party Address Line 1","Target":"Order Parfy Address Line 1"},</v>
      </c>
    </row>
    <row r="79" spans="1:16" x14ac:dyDescent="0.25">
      <c r="A79" t="s">
        <v>2</v>
      </c>
      <c r="B79" t="s">
        <v>30</v>
      </c>
      <c r="C79" t="b">
        <f t="shared" si="32"/>
        <v>0</v>
      </c>
      <c r="D79">
        <f t="shared" si="33"/>
        <v>12</v>
      </c>
      <c r="E79">
        <f t="shared" si="23"/>
        <v>0.91666666666666663</v>
      </c>
      <c r="F79">
        <f t="shared" si="34"/>
        <v>0.91666666666666663</v>
      </c>
      <c r="G79">
        <f t="shared" si="24"/>
        <v>0.6</v>
      </c>
      <c r="H79">
        <f t="shared" si="25"/>
        <v>0.96666666666666667</v>
      </c>
      <c r="I79">
        <f t="shared" si="26"/>
        <v>0.91666666666666663</v>
      </c>
      <c r="J79">
        <f t="shared" si="27"/>
        <v>0.91666666666666663</v>
      </c>
      <c r="K79">
        <f t="shared" si="28"/>
        <v>0.5</v>
      </c>
      <c r="L79">
        <f t="shared" si="29"/>
        <v>0.75</v>
      </c>
      <c r="M79">
        <f t="shared" si="30"/>
        <v>0.91666666666666663</v>
      </c>
      <c r="N79">
        <f t="shared" si="31"/>
        <v>0.75</v>
      </c>
      <c r="O79">
        <f t="shared" si="35"/>
        <v>0.81500000000000006</v>
      </c>
      <c r="P79" t="str">
        <f t="shared" si="36"/>
        <v>{"Average":0.815,"EditSimilarity":0.916666666666667,"HammingSimilarity":0.916666666666667,"JaccardIndex":0.6,"JaroWinklerSimilarity":0.966666666666667,"LevenshteinSimilarity":0.916666666666667,"LongestCommonSubsequenceSimilarity":0.916666666666667,"LongestCommonSubstringSimilarity":0.5,"OverlapCoefficient":0.75,"RatcliffObershelpSimilarity":0.916666666666667,"SorensenDiceCoefficient":0.75,"Source":"ORG_ADDRESS3","Target":"ORG_APDRESS3"},</v>
      </c>
    </row>
    <row r="80" spans="1:16" x14ac:dyDescent="0.25">
      <c r="A80" t="s">
        <v>173</v>
      </c>
      <c r="B80" t="s">
        <v>173</v>
      </c>
      <c r="C80" t="b">
        <f t="shared" si="32"/>
        <v>1</v>
      </c>
      <c r="D80">
        <f t="shared" si="33"/>
        <v>18</v>
      </c>
      <c r="E80">
        <f t="shared" si="23"/>
        <v>1</v>
      </c>
      <c r="F80">
        <f t="shared" si="34"/>
        <v>1</v>
      </c>
      <c r="G80">
        <f t="shared" si="24"/>
        <v>1</v>
      </c>
      <c r="H80">
        <f t="shared" si="25"/>
        <v>1</v>
      </c>
      <c r="I80">
        <f t="shared" si="26"/>
        <v>1</v>
      </c>
      <c r="J80">
        <f t="shared" si="27"/>
        <v>1</v>
      </c>
      <c r="K80">
        <f t="shared" si="28"/>
        <v>1</v>
      </c>
      <c r="L80">
        <f t="shared" si="29"/>
        <v>1</v>
      </c>
      <c r="M80">
        <f t="shared" si="30"/>
        <v>1</v>
      </c>
      <c r="N80">
        <f t="shared" si="31"/>
        <v>1</v>
      </c>
      <c r="O80">
        <f t="shared" si="35"/>
        <v>1</v>
      </c>
      <c r="P80" t="str">
        <f t="shared" si="36"/>
        <v>{"Average":1,"EditSimilarity":1,"HammingSimilarity":1,"JaccardIndex":1,"JaroWinklerSimilarity":1,"LevenshteinSimilarity":1,"LongestCommonSubsequenceSimilarity":1,"LongestCommonSubstringSimilarity":1,"OverlapCoefficient":1,"RatcliffObershelpSimilarity":1,"SorensenDiceCoefficient":1,"Source":"ORG_CONT_OTHR_INFO","Target":"ORG_CONT_OTHR_INFO"},</v>
      </c>
    </row>
    <row r="81" spans="1:16" x14ac:dyDescent="0.25">
      <c r="A81" t="s">
        <v>83</v>
      </c>
      <c r="B81" t="s">
        <v>83</v>
      </c>
      <c r="C81" t="b">
        <f t="shared" si="32"/>
        <v>1</v>
      </c>
      <c r="D81">
        <f t="shared" si="33"/>
        <v>24</v>
      </c>
      <c r="E81">
        <f t="shared" si="23"/>
        <v>1</v>
      </c>
      <c r="F81">
        <f t="shared" si="34"/>
        <v>1</v>
      </c>
      <c r="G81">
        <f t="shared" si="24"/>
        <v>1</v>
      </c>
      <c r="H81">
        <f t="shared" si="25"/>
        <v>1</v>
      </c>
      <c r="I81">
        <f t="shared" si="26"/>
        <v>1</v>
      </c>
      <c r="J81">
        <f t="shared" si="27"/>
        <v>1</v>
      </c>
      <c r="K81">
        <f t="shared" si="28"/>
        <v>1</v>
      </c>
      <c r="L81">
        <f t="shared" si="29"/>
        <v>1</v>
      </c>
      <c r="M81">
        <f t="shared" si="30"/>
        <v>1</v>
      </c>
      <c r="N81">
        <f t="shared" si="31"/>
        <v>1</v>
      </c>
      <c r="O81">
        <f t="shared" si="35"/>
        <v>1</v>
      </c>
      <c r="P81" t="str">
        <f t="shared" si="36"/>
        <v>{"Average":1,"EditSimilarity":1,"HammingSimilarity":1,"JaccardIndex":1,"JaroWinklerSimilarity":1,"LevenshteinSimilarity":1,"LongestCommonSubsequenceSimilarity":1,"LongestCommonSubstringSimilarity":1,"OverlapCoefficient":1,"RatcliffObershelpSimilarity":1,"SorensenDiceCoefficient":1,"Source":"ORIGINAL_MORTGAGE_AMOUNT","Target":"ORIGINAL_MORTGAGE_AMOUNT"},</v>
      </c>
    </row>
    <row r="82" spans="1:16" x14ac:dyDescent="0.25">
      <c r="A82" t="s">
        <v>129</v>
      </c>
      <c r="B82" t="s">
        <v>128</v>
      </c>
      <c r="C82" t="b">
        <f t="shared" si="32"/>
        <v>0</v>
      </c>
      <c r="D82">
        <f t="shared" si="33"/>
        <v>33</v>
      </c>
      <c r="E82">
        <f t="shared" si="23"/>
        <v>0.96969696969696972</v>
      </c>
      <c r="F82">
        <f t="shared" si="34"/>
        <v>0.96969696969696972</v>
      </c>
      <c r="G82">
        <f t="shared" si="24"/>
        <v>0.375</v>
      </c>
      <c r="H82">
        <f t="shared" si="25"/>
        <v>0.98787878787878791</v>
      </c>
      <c r="I82">
        <f t="shared" si="26"/>
        <v>0.96969696969696972</v>
      </c>
      <c r="J82">
        <f t="shared" si="27"/>
        <v>0.96969696969696972</v>
      </c>
      <c r="K82">
        <f t="shared" si="28"/>
        <v>0.60606060606060608</v>
      </c>
      <c r="L82">
        <f t="shared" si="29"/>
        <v>0.54545454545454541</v>
      </c>
      <c r="M82">
        <f t="shared" si="30"/>
        <v>0.96969696969696972</v>
      </c>
      <c r="N82">
        <f t="shared" si="31"/>
        <v>0.54545454545454541</v>
      </c>
      <c r="O82">
        <f t="shared" si="35"/>
        <v>0.79083333333333328</v>
      </c>
      <c r="P82" t="str">
        <f t="shared" si="36"/>
        <v>{"Average":0.790833333333333,"EditSimilarity":0.96969696969697,"HammingSimilarity":0.96969696969697,"JaccardIndex":0.375,"JaroWinklerSimilarity":0.987878787878788,"LevenshteinSimilarity":0.96969696969697,"LongestCommonSubsequenceSimilarity":0.96969696969697,"LongestCommonSubstringSimilarity":0.606060606060606,"OverlapCoefficient":0.545454545454545,"RatcliffObershelpSimilarity":0.96969696969697,"SorensenDiceCoefficient":0.545454545454545,"Source":"OriginalForwardEntryPaymentAmount","Target":"OriginalForwardEntryMaymentAmount"},</v>
      </c>
    </row>
    <row r="83" spans="1:16" x14ac:dyDescent="0.25">
      <c r="A83" t="s">
        <v>54</v>
      </c>
      <c r="B83" t="s">
        <v>53</v>
      </c>
      <c r="C83" t="b">
        <f t="shared" si="32"/>
        <v>0</v>
      </c>
      <c r="D83">
        <f t="shared" si="33"/>
        <v>18</v>
      </c>
      <c r="E83">
        <f t="shared" si="23"/>
        <v>0.94444444444444442</v>
      </c>
      <c r="F83">
        <f t="shared" si="34"/>
        <v>0.94444444444444442</v>
      </c>
      <c r="G83">
        <f t="shared" si="24"/>
        <v>0.56521739130434778</v>
      </c>
      <c r="H83">
        <f t="shared" si="25"/>
        <v>0.97777777777777775</v>
      </c>
      <c r="I83">
        <f t="shared" si="26"/>
        <v>0.94444444444444442</v>
      </c>
      <c r="J83">
        <f t="shared" si="27"/>
        <v>0.94444444444444442</v>
      </c>
      <c r="K83">
        <f t="shared" si="28"/>
        <v>0.61111111111111116</v>
      </c>
      <c r="L83">
        <f t="shared" si="29"/>
        <v>0.72222222222222221</v>
      </c>
      <c r="M83">
        <f t="shared" si="30"/>
        <v>0.94444444444444442</v>
      </c>
      <c r="N83">
        <f t="shared" si="31"/>
        <v>0.72222222222222221</v>
      </c>
      <c r="O83">
        <f t="shared" si="35"/>
        <v>0.83207729468599045</v>
      </c>
      <c r="P83" t="str">
        <f t="shared" si="36"/>
        <v>{"Average":0.83207729468599,"EditSimilarity":0.944444444444444,"HammingSimilarity":0.944444444444444,"JaccardIndex":0.565217391304348,"JaroWinklerSimilarity":0.977777777777778,"LevenshteinSimilarity":0.944444444444444,"LongestCommonSubsequenceSimilarity":0.944444444444444,"LongestCommonSubstringSimilarity":0.611111111111111,"OverlapCoefficient":0.722222222222222,"RatcliffObershelpSimilarity":0.944444444444444,"SorensenDiceCoefficient":0.722222222222222,"Source":"OriginalNoteStatus","Target":"OriginalNotwStatus"},</v>
      </c>
    </row>
    <row r="84" spans="1:16" x14ac:dyDescent="0.25">
      <c r="A84" t="s">
        <v>143</v>
      </c>
      <c r="B84" t="s">
        <v>143</v>
      </c>
      <c r="C84" t="b">
        <f t="shared" si="32"/>
        <v>1</v>
      </c>
      <c r="D84">
        <f t="shared" si="33"/>
        <v>43</v>
      </c>
      <c r="E84">
        <f t="shared" si="23"/>
        <v>1</v>
      </c>
      <c r="F84">
        <f t="shared" si="34"/>
        <v>1</v>
      </c>
      <c r="G84">
        <f t="shared" si="24"/>
        <v>1</v>
      </c>
      <c r="H84">
        <f t="shared" si="25"/>
        <v>1</v>
      </c>
      <c r="I84">
        <f t="shared" si="26"/>
        <v>1</v>
      </c>
      <c r="J84">
        <f t="shared" si="27"/>
        <v>1</v>
      </c>
      <c r="K84">
        <f t="shared" si="28"/>
        <v>1</v>
      </c>
      <c r="L84">
        <f t="shared" si="29"/>
        <v>1</v>
      </c>
      <c r="M84">
        <f t="shared" si="30"/>
        <v>1</v>
      </c>
      <c r="N84">
        <f t="shared" si="31"/>
        <v>1</v>
      </c>
      <c r="O84">
        <f t="shared" si="35"/>
        <v>1</v>
      </c>
      <c r="P84" t="str">
        <f t="shared" si="36"/>
        <v>{"Average":1,"EditSimilarity":1,"HammingSimilarity":1,"JaccardIndex":1,"JaroWinklerSimilarity":1,"LevenshteinSimilarity":1,"LongestCommonSubsequenceSimilarity":1,"LongestCommonSubstringSimilarity":1,"OverlapCoefficient":1,"RatcliffObershelpSimilarity":1,"SorensenDiceCoefficient":1,"Source":"OriginatingDFIIdentificationNumberQualifier","Target":"OriginatingDFIIdentificationNumberQualifier"},</v>
      </c>
    </row>
    <row r="85" spans="1:16" x14ac:dyDescent="0.25">
      <c r="A85" t="s">
        <v>28</v>
      </c>
      <c r="B85" t="s">
        <v>27</v>
      </c>
      <c r="C85" t="b">
        <f t="shared" si="32"/>
        <v>0</v>
      </c>
      <c r="D85">
        <f t="shared" si="33"/>
        <v>10</v>
      </c>
      <c r="E85">
        <f t="shared" si="23"/>
        <v>0.9</v>
      </c>
      <c r="F85">
        <f t="shared" si="34"/>
        <v>0.9</v>
      </c>
      <c r="G85">
        <f t="shared" si="24"/>
        <v>0.53846153846153844</v>
      </c>
      <c r="H85">
        <f t="shared" si="25"/>
        <v>0.95333333333333337</v>
      </c>
      <c r="I85">
        <f t="shared" si="26"/>
        <v>0.9</v>
      </c>
      <c r="J85">
        <f t="shared" si="27"/>
        <v>0.9</v>
      </c>
      <c r="K85">
        <f t="shared" si="28"/>
        <v>0.8</v>
      </c>
      <c r="L85">
        <f t="shared" si="29"/>
        <v>0.7</v>
      </c>
      <c r="M85">
        <f t="shared" si="30"/>
        <v>0.9</v>
      </c>
      <c r="N85">
        <f t="shared" si="31"/>
        <v>0.7</v>
      </c>
      <c r="O85">
        <f t="shared" si="35"/>
        <v>0.8191794871794873</v>
      </c>
      <c r="P85" t="str">
        <f t="shared" si="36"/>
        <v>{"Average":0.819179487179487,"EditSimilarity":0.9,"HammingSimilarity":0.9,"JaccardIndex":0.538461538461538,"JaroWinklerSimilarity":0.953333333333333,"LevenshteinSimilarity":0.9,"LongestCommonSubsequenceSimilarity":0.9,"LongestCommonSubstringSimilarity":0.8,"OverlapCoefficient":0.7,"RatcliffObershelpSimilarity":0.9,"SorensenDiceCoefficient":0.7,"Source":"port-group","Target":"pprt-group"},</v>
      </c>
    </row>
    <row r="86" spans="1:16" x14ac:dyDescent="0.25">
      <c r="A86" t="s">
        <v>131</v>
      </c>
      <c r="B86" t="s">
        <v>130</v>
      </c>
      <c r="C86" t="b">
        <f t="shared" si="32"/>
        <v>0</v>
      </c>
      <c r="D86">
        <f t="shared" si="33"/>
        <v>34</v>
      </c>
      <c r="E86">
        <f t="shared" si="23"/>
        <v>0.97058823529411764</v>
      </c>
      <c r="F86">
        <f t="shared" si="34"/>
        <v>0.97058823529411764</v>
      </c>
      <c r="G86">
        <f t="shared" si="24"/>
        <v>0.25925925925925924</v>
      </c>
      <c r="H86">
        <f t="shared" si="25"/>
        <v>0.98823529411764699</v>
      </c>
      <c r="I86">
        <f t="shared" si="26"/>
        <v>0.97058823529411764</v>
      </c>
      <c r="J86">
        <f t="shared" si="27"/>
        <v>0.97058823529411764</v>
      </c>
      <c r="K86">
        <f t="shared" si="28"/>
        <v>0.8529411764705882</v>
      </c>
      <c r="L86">
        <f t="shared" si="29"/>
        <v>0.41176470588235292</v>
      </c>
      <c r="M86">
        <f t="shared" si="30"/>
        <v>0.97058823529411764</v>
      </c>
      <c r="N86">
        <f t="shared" si="31"/>
        <v>0.41176470588235292</v>
      </c>
      <c r="O86">
        <f t="shared" si="35"/>
        <v>0.77769063180827891</v>
      </c>
      <c r="P86" t="str">
        <f t="shared" si="36"/>
        <v>{"Average":0.777690631808279,"EditSimilarity":0.970588235294118,"HammingSimilarity":0.970588235294118,"JaccardIndex":0.259259259259259,"JaroWinklerSimilarity":0.988235294117647,"LevenshteinSimilarity":0.970588235294118,"LongestCommonSubsequenceSimilarity":0.970588235294118,"LongestCommonSubstringSimilarity":0.852941176470588,"OverlapCoefficient":0.411764705882353,"RatcliffObershelpSimilarity":0.970588235294118,"SorensenDiceCoefficient":0.411764705882353,"Source":"Present Address Years in Residence","Target":"Present Address Years in Resipence"},</v>
      </c>
    </row>
    <row r="87" spans="1:16" x14ac:dyDescent="0.25">
      <c r="A87" t="s">
        <v>120</v>
      </c>
      <c r="B87" t="s">
        <v>119</v>
      </c>
      <c r="C87" t="b">
        <f t="shared" si="32"/>
        <v>0</v>
      </c>
      <c r="D87">
        <f t="shared" si="33"/>
        <v>30</v>
      </c>
      <c r="E87">
        <f t="shared" si="23"/>
        <v>0.66666666666666674</v>
      </c>
      <c r="F87">
        <f t="shared" si="34"/>
        <v>0</v>
      </c>
      <c r="G87">
        <f t="shared" si="24"/>
        <v>0.3902439024390244</v>
      </c>
      <c r="H87">
        <f t="shared" si="25"/>
        <v>0.9582336182336183</v>
      </c>
      <c r="I87">
        <f t="shared" si="26"/>
        <v>0.8666666666666667</v>
      </c>
      <c r="J87">
        <f t="shared" si="27"/>
        <v>0.96296296296296291</v>
      </c>
      <c r="K87">
        <f t="shared" si="28"/>
        <v>0.7407407407407407</v>
      </c>
      <c r="L87">
        <f t="shared" si="29"/>
        <v>0.59259259259259256</v>
      </c>
      <c r="M87">
        <f t="shared" si="30"/>
        <v>0.91228070175438591</v>
      </c>
      <c r="N87">
        <f t="shared" si="31"/>
        <v>0.56140350877192979</v>
      </c>
      <c r="O87">
        <f t="shared" si="35"/>
        <v>0.66517913608285884</v>
      </c>
      <c r="P87" t="str">
        <f t="shared" si="36"/>
        <v>{"Average":0.665179136082859,"EditSimilarity":0.666666666666667,"HammingSimilarity":0,"JaccardIndex":0.390243902439024,"JaroWinklerSimilarity":0.958233618233618,"LevenshteinSimilarity":0.866666666666667,"LongestCommonSubsequenceSimilarity":0.962962962962963,"LongestCommonSubstringSimilarity":0.740740740740741,"OverlapCoefficient":0.592592592592593,"RatcliffObershelpSimilarity":0.912280701754386,"SorensenDiceCoefficient":0.56140350877193,"Source":"Present Other Financning (P&amp;I)","Target":"Present Other Financing_P&amp;I"},</v>
      </c>
    </row>
    <row r="88" spans="1:16" x14ac:dyDescent="0.25">
      <c r="A88" t="s">
        <v>26</v>
      </c>
      <c r="B88" t="s">
        <v>25</v>
      </c>
      <c r="C88" t="b">
        <f t="shared" si="32"/>
        <v>0</v>
      </c>
      <c r="D88">
        <f t="shared" si="33"/>
        <v>10</v>
      </c>
      <c r="E88">
        <f t="shared" si="23"/>
        <v>0.9</v>
      </c>
      <c r="F88">
        <f t="shared" si="34"/>
        <v>0.9</v>
      </c>
      <c r="G88">
        <f t="shared" si="24"/>
        <v>0.81818181818181823</v>
      </c>
      <c r="H88">
        <f t="shared" si="25"/>
        <v>0.96</v>
      </c>
      <c r="I88">
        <f t="shared" si="26"/>
        <v>0.9</v>
      </c>
      <c r="J88">
        <f t="shared" si="27"/>
        <v>0.9</v>
      </c>
      <c r="K88">
        <f t="shared" si="28"/>
        <v>0.5</v>
      </c>
      <c r="L88">
        <f t="shared" si="29"/>
        <v>0.9</v>
      </c>
      <c r="M88">
        <f t="shared" si="30"/>
        <v>0.9</v>
      </c>
      <c r="N88">
        <f t="shared" si="31"/>
        <v>0.9</v>
      </c>
      <c r="O88">
        <f t="shared" si="35"/>
        <v>0.85781818181818204</v>
      </c>
      <c r="P88" t="str">
        <f t="shared" si="36"/>
        <v>{"Average":0.857818181818182,"EditSimilarity":0.9,"HammingSimilarity":0.9,"JaccardIndex":0.818181818181818,"JaroWinklerSimilarity":0.96,"LevenshteinSimilarity":0.9,"LongestCommonSubsequenceSimilarity":0.9,"LongestCommonSubstringSimilarity":0.5,"OverlapCoefficient":0.9,"RatcliffObershelpSimilarity":0.9,"SorensenDiceCoefficient":0.9,"Source":"prin/float","Target":"prin-float"},</v>
      </c>
    </row>
    <row r="89" spans="1:16" x14ac:dyDescent="0.25">
      <c r="A89" t="s">
        <v>109</v>
      </c>
      <c r="B89" t="s">
        <v>109</v>
      </c>
      <c r="C89" t="b">
        <f t="shared" si="32"/>
        <v>1</v>
      </c>
      <c r="D89">
        <f t="shared" si="33"/>
        <v>28</v>
      </c>
      <c r="E89">
        <f t="shared" si="23"/>
        <v>1</v>
      </c>
      <c r="F89">
        <f t="shared" si="34"/>
        <v>1</v>
      </c>
      <c r="G89">
        <f t="shared" si="24"/>
        <v>1</v>
      </c>
      <c r="H89">
        <f t="shared" si="25"/>
        <v>1</v>
      </c>
      <c r="I89">
        <f t="shared" si="26"/>
        <v>1</v>
      </c>
      <c r="J89">
        <f t="shared" si="27"/>
        <v>1</v>
      </c>
      <c r="K89">
        <f t="shared" si="28"/>
        <v>1</v>
      </c>
      <c r="L89">
        <f t="shared" si="29"/>
        <v>1</v>
      </c>
      <c r="M89">
        <f t="shared" si="30"/>
        <v>1</v>
      </c>
      <c r="N89">
        <f t="shared" si="31"/>
        <v>1</v>
      </c>
      <c r="O89">
        <f t="shared" si="35"/>
        <v>1</v>
      </c>
      <c r="P89" t="str">
        <f t="shared" si="36"/>
        <v>{"Average":1,"EditSimilarity":1,"HammingSimilarity":1,"JaccardIndex":1,"JaroWinklerSimilarity":1,"LevenshteinSimilarity":1,"LongestCommonSubsequenceSimilarity":1,"LongestCommonSubstringSimilarity":1,"OverlapCoefficient":1,"RatcliffObershelpSimilarity":1,"SorensenDiceCoefficient":1,"Source":"product_credit_rating_moodys","Target":"product_credit_rating_moodys"},</v>
      </c>
    </row>
    <row r="90" spans="1:16" x14ac:dyDescent="0.25">
      <c r="A90" t="s">
        <v>134</v>
      </c>
      <c r="B90" t="s">
        <v>134</v>
      </c>
      <c r="C90" t="b">
        <f t="shared" si="32"/>
        <v>1</v>
      </c>
      <c r="D90">
        <f t="shared" si="33"/>
        <v>36</v>
      </c>
      <c r="E90">
        <f t="shared" si="23"/>
        <v>1</v>
      </c>
      <c r="F90">
        <f t="shared" si="34"/>
        <v>1</v>
      </c>
      <c r="G90">
        <f t="shared" si="24"/>
        <v>1</v>
      </c>
      <c r="H90">
        <f t="shared" si="25"/>
        <v>1</v>
      </c>
      <c r="I90">
        <f t="shared" si="26"/>
        <v>1</v>
      </c>
      <c r="J90">
        <f t="shared" si="27"/>
        <v>1</v>
      </c>
      <c r="K90">
        <f t="shared" si="28"/>
        <v>1</v>
      </c>
      <c r="L90">
        <f t="shared" si="29"/>
        <v>1</v>
      </c>
      <c r="M90">
        <f t="shared" si="30"/>
        <v>1</v>
      </c>
      <c r="N90">
        <f t="shared" si="31"/>
        <v>1</v>
      </c>
      <c r="O90">
        <f t="shared" si="35"/>
        <v>1</v>
      </c>
      <c r="P90" t="str">
        <f t="shared" si="36"/>
        <v>{"Average":1,"EditSimilarity":1,"HammingSimilarity":1,"JaccardIndex":1,"JaroWinklerSimilarity":1,"LevenshteinSimilarity":1,"LongestCommonSubsequenceSimilarity":1,"LongestCommonSubstringSimilarity":1,"OverlapCoefficient":1,"RatcliffObershelpSimilarity":1,"SorensenDiceCoefficient":1,"Source":"Race - Visual Observation or Surname","Target":"Race - Visual Observation or Surname"},</v>
      </c>
    </row>
    <row r="91" spans="1:16" x14ac:dyDescent="0.25">
      <c r="A91" t="s">
        <v>113</v>
      </c>
      <c r="B91" t="s">
        <v>112</v>
      </c>
      <c r="C91" t="b">
        <f t="shared" si="32"/>
        <v>0</v>
      </c>
      <c r="D91">
        <f t="shared" si="33"/>
        <v>29</v>
      </c>
      <c r="E91">
        <f t="shared" si="23"/>
        <v>0.96551724137931039</v>
      </c>
      <c r="F91">
        <f t="shared" si="34"/>
        <v>0.96551724137931039</v>
      </c>
      <c r="G91">
        <f t="shared" si="24"/>
        <v>0.48717948717948717</v>
      </c>
      <c r="H91">
        <f t="shared" si="25"/>
        <v>0.98620689655172411</v>
      </c>
      <c r="I91">
        <f t="shared" si="26"/>
        <v>0.96551724137931039</v>
      </c>
      <c r="J91">
        <f t="shared" si="27"/>
        <v>0.96551724137931039</v>
      </c>
      <c r="K91">
        <f t="shared" si="28"/>
        <v>0.75862068965517238</v>
      </c>
      <c r="L91">
        <f t="shared" si="29"/>
        <v>0.65517241379310343</v>
      </c>
      <c r="M91">
        <f t="shared" si="30"/>
        <v>0.96551724137931039</v>
      </c>
      <c r="N91">
        <f t="shared" si="31"/>
        <v>0.65517241379310343</v>
      </c>
      <c r="O91">
        <f t="shared" si="35"/>
        <v>0.83699381078691426</v>
      </c>
      <c r="P91" t="str">
        <f t="shared" si="36"/>
        <v>{"Average":0.836993810786914,"EditSimilarity":0.96551724137931,"HammingSimilarity":0.96551724137931,"JaccardIndex":0.487179487179487,"JaroWinklerSimilarity":0.986206896551724,"LevenshteinSimilarity":0.96551724137931,"LongestCommonSubsequenceSimilarity":0.96551724137931,"LongestCommonSubstringSimilarity":0.758620689655172,"OverlapCoefficient":0.655172413793103,"RatcliffObershelpSimilarity":0.96551724137931,"SorensenDiceCoefficient":0.655172413793103,"Source":"ReceivingDFIBranchCountryCode","Target":"ReceivingDFIBranchCounaryCode"},</v>
      </c>
    </row>
    <row r="92" spans="1:16" x14ac:dyDescent="0.25">
      <c r="A92" t="s">
        <v>141</v>
      </c>
      <c r="B92" t="s">
        <v>140</v>
      </c>
      <c r="C92" t="b">
        <f t="shared" si="32"/>
        <v>0</v>
      </c>
      <c r="D92">
        <f t="shared" si="33"/>
        <v>41</v>
      </c>
      <c r="E92">
        <f t="shared" si="23"/>
        <v>0.97560975609756095</v>
      </c>
      <c r="F92">
        <f t="shared" si="34"/>
        <v>0.97560975609756095</v>
      </c>
      <c r="G92">
        <f t="shared" si="24"/>
        <v>0.36666666666666664</v>
      </c>
      <c r="H92">
        <f t="shared" si="25"/>
        <v>0.91274390243902437</v>
      </c>
      <c r="I92">
        <f t="shared" si="26"/>
        <v>0.97560975609756095</v>
      </c>
      <c r="J92">
        <f t="shared" si="27"/>
        <v>0.97560975609756095</v>
      </c>
      <c r="K92">
        <f t="shared" si="28"/>
        <v>0.82926829268292679</v>
      </c>
      <c r="L92">
        <f t="shared" si="29"/>
        <v>0.53658536585365857</v>
      </c>
      <c r="M92">
        <f t="shared" si="30"/>
        <v>0.97560975609756095</v>
      </c>
      <c r="N92">
        <f t="shared" si="31"/>
        <v>0.53658536585365857</v>
      </c>
      <c r="O92">
        <f t="shared" si="35"/>
        <v>0.80598983739837382</v>
      </c>
      <c r="P92" t="str">
        <f t="shared" si="36"/>
        <v>{"Average":0.805989837398374,"EditSimilarity":0.975609756097561,"HammingSimilarity":0.975609756097561,"JaccardIndex":0.366666666666667,"JaroWinklerSimilarity":0.912743902439024,"LevenshteinSimilarity":0.975609756097561,"LongestCommonSubsequenceSimilarity":0.975609756097561,"LongestCommonSubstringSimilarity":0.829268292682927,"OverlapCoefficient":0.536585365853659,"RatcliffObershelpSimilarity":0.975609756097561,"SorensenDiceCoefficient":0.536585365853659,"Source":"ReceivingDFIIdentificationNumberQualifier","Target":"ReceivrngDFIIdentificationNumberQualifier"},</v>
      </c>
    </row>
    <row r="93" spans="1:16" x14ac:dyDescent="0.25">
      <c r="A93" t="s">
        <v>97</v>
      </c>
      <c r="B93" t="s">
        <v>97</v>
      </c>
      <c r="C93" t="b">
        <f t="shared" si="32"/>
        <v>1</v>
      </c>
      <c r="D93">
        <f t="shared" si="33"/>
        <v>26</v>
      </c>
      <c r="E93">
        <f t="shared" si="23"/>
        <v>1</v>
      </c>
      <c r="F93">
        <f t="shared" si="34"/>
        <v>1</v>
      </c>
      <c r="G93">
        <f t="shared" si="24"/>
        <v>1</v>
      </c>
      <c r="H93">
        <f t="shared" si="25"/>
        <v>1</v>
      </c>
      <c r="I93">
        <f t="shared" si="26"/>
        <v>1</v>
      </c>
      <c r="J93">
        <f t="shared" si="27"/>
        <v>1</v>
      </c>
      <c r="K93">
        <f t="shared" si="28"/>
        <v>1</v>
      </c>
      <c r="L93">
        <f t="shared" si="29"/>
        <v>1</v>
      </c>
      <c r="M93">
        <f t="shared" si="30"/>
        <v>1</v>
      </c>
      <c r="N93">
        <f t="shared" si="31"/>
        <v>1</v>
      </c>
      <c r="O93">
        <f t="shared" si="35"/>
        <v>1</v>
      </c>
      <c r="P93" t="str">
        <f t="shared" si="36"/>
        <v>{"Average":1,"EditSimilarity":1,"HammingSimilarity":1,"JaccardIndex":1,"JaroWinklerSimilarity":1,"LevenshteinSimilarity":1,"LongestCommonSubsequenceSimilarity":1,"LongestCommonSubstringSimilarity":1,"OverlapCoefficient":1,"RatcliffObershelpSimilarity":1,"SorensenDiceCoefficient":1,"Source":"release_request_identifier","Target":"release_request_identifier"},</v>
      </c>
    </row>
    <row r="94" spans="1:16" x14ac:dyDescent="0.25">
      <c r="A94" t="s">
        <v>48</v>
      </c>
      <c r="B94" t="s">
        <v>47</v>
      </c>
      <c r="C94" t="b">
        <f t="shared" si="32"/>
        <v>0</v>
      </c>
      <c r="D94">
        <f t="shared" si="33"/>
        <v>17</v>
      </c>
      <c r="E94">
        <f t="shared" si="23"/>
        <v>0.94117647058823528</v>
      </c>
      <c r="F94">
        <f t="shared" si="34"/>
        <v>0.94117647058823528</v>
      </c>
      <c r="G94">
        <f t="shared" si="24"/>
        <v>0.54545454545454541</v>
      </c>
      <c r="H94">
        <f t="shared" si="25"/>
        <v>0.97254901960784312</v>
      </c>
      <c r="I94">
        <f t="shared" si="26"/>
        <v>0.94117647058823528</v>
      </c>
      <c r="J94">
        <f t="shared" si="27"/>
        <v>0.94117647058823528</v>
      </c>
      <c r="K94">
        <f t="shared" si="28"/>
        <v>0.94117647058823528</v>
      </c>
      <c r="L94">
        <f t="shared" si="29"/>
        <v>0.70588235294117652</v>
      </c>
      <c r="M94">
        <f t="shared" si="30"/>
        <v>0.94117647058823528</v>
      </c>
      <c r="N94">
        <f t="shared" si="31"/>
        <v>0.70588235294117652</v>
      </c>
      <c r="O94">
        <f t="shared" si="35"/>
        <v>0.85768270944741543</v>
      </c>
      <c r="P94" t="str">
        <f t="shared" si="36"/>
        <v>{"Average":0.857682709447415,"EditSimilarity":0.941176470588235,"HammingSimilarity":0.941176470588235,"JaccardIndex":0.545454545454545,"JaroWinklerSimilarity":0.972549019607843,"LevenshteinSimilarity":0.941176470588235,"LongestCommonSubsequenceSimilarity":0.941176470588235,"LongestCommonSubstringSimilarity":0.941176470588235,"OverlapCoefficient":0.705882352941177,"RatcliffObershelpSimilarity":0.941176470588235,"SorensenDiceCoefficient":0.705882352941177,"Source":"SL_360_365_FACTOR","Target":"EL_360_365_FACTOR"},</v>
      </c>
    </row>
    <row r="95" spans="1:16" x14ac:dyDescent="0.25">
      <c r="A95" t="s">
        <v>61</v>
      </c>
      <c r="B95" t="s">
        <v>60</v>
      </c>
      <c r="C95" t="b">
        <f t="shared" si="32"/>
        <v>0</v>
      </c>
      <c r="D95">
        <f t="shared" si="33"/>
        <v>20</v>
      </c>
      <c r="E95">
        <f t="shared" si="23"/>
        <v>0.95</v>
      </c>
      <c r="F95">
        <f t="shared" si="34"/>
        <v>0.95</v>
      </c>
      <c r="G95">
        <f t="shared" si="24"/>
        <v>0.6</v>
      </c>
      <c r="H95">
        <f t="shared" si="25"/>
        <v>0.98</v>
      </c>
      <c r="I95">
        <f t="shared" si="26"/>
        <v>0.95</v>
      </c>
      <c r="J95">
        <f t="shared" si="27"/>
        <v>0.95</v>
      </c>
      <c r="K95">
        <f t="shared" si="28"/>
        <v>0.9</v>
      </c>
      <c r="L95">
        <f t="shared" si="29"/>
        <v>0.75</v>
      </c>
      <c r="M95">
        <f t="shared" si="30"/>
        <v>0.95</v>
      </c>
      <c r="N95">
        <f t="shared" si="31"/>
        <v>0.75</v>
      </c>
      <c r="O95">
        <f t="shared" si="35"/>
        <v>0.873</v>
      </c>
      <c r="P95" t="str">
        <f t="shared" si="36"/>
        <v>{"Average":0.873,"EditSimilarity":0.95,"HammingSimilarity":0.95,"JaccardIndex":0.6,"JaroWinklerSimilarity":0.98,"LevenshteinSimilarity":0.95,"LongestCommonSubsequenceSimilarity":0.95,"LongestCommonSubstringSimilarity":0.9,"OverlapCoefficient":0.75,"RatcliffObershelpSimilarity":0.95,"SorensenDiceCoefficient":0.75,"Source":"SlsrepLastYrCommAmt7","Target":"SlsrepLastYrCommAmw7"},</v>
      </c>
    </row>
    <row r="96" spans="1:16" x14ac:dyDescent="0.25">
      <c r="A96" t="s">
        <v>96</v>
      </c>
      <c r="B96" t="s">
        <v>96</v>
      </c>
      <c r="C96" t="b">
        <f t="shared" si="32"/>
        <v>1</v>
      </c>
      <c r="D96">
        <f t="shared" si="33"/>
        <v>26</v>
      </c>
      <c r="E96">
        <f t="shared" si="23"/>
        <v>1</v>
      </c>
      <c r="F96">
        <f t="shared" si="34"/>
        <v>1</v>
      </c>
      <c r="G96">
        <f t="shared" si="24"/>
        <v>1</v>
      </c>
      <c r="H96">
        <f t="shared" si="25"/>
        <v>1</v>
      </c>
      <c r="I96">
        <f t="shared" si="26"/>
        <v>1</v>
      </c>
      <c r="J96">
        <f t="shared" si="27"/>
        <v>1</v>
      </c>
      <c r="K96">
        <f t="shared" si="28"/>
        <v>1</v>
      </c>
      <c r="L96">
        <f t="shared" si="29"/>
        <v>1</v>
      </c>
      <c r="M96">
        <f t="shared" si="30"/>
        <v>1</v>
      </c>
      <c r="N96">
        <f t="shared" si="31"/>
        <v>1</v>
      </c>
      <c r="O96">
        <f t="shared" si="35"/>
        <v>1</v>
      </c>
      <c r="P96" t="str">
        <f t="shared" si="36"/>
        <v>{"Average":1,"EditSimilarity":1,"HammingSimilarity":1,"JaccardIndex":1,"JaroWinklerSimilarity":1,"LevenshteinSimilarity":1,"LongestCommonSubsequenceSimilarity":1,"LongestCommonSubstringSimilarity":1,"OverlapCoefficient":1,"RatcliffObershelpSimilarity":1,"SorensenDiceCoefficient":1,"Source":"ss_number_2_encrypt_nonrev","Target":"ss_number_2_encrypt_nonrev"},</v>
      </c>
    </row>
    <row r="97" spans="1:16" x14ac:dyDescent="0.25">
      <c r="A97" t="s">
        <v>52</v>
      </c>
      <c r="B97" t="s">
        <v>51</v>
      </c>
      <c r="C97" t="b">
        <f t="shared" si="32"/>
        <v>0</v>
      </c>
      <c r="D97">
        <f t="shared" si="33"/>
        <v>18</v>
      </c>
      <c r="E97">
        <f t="shared" si="23"/>
        <v>0.94444444444444442</v>
      </c>
      <c r="F97">
        <f t="shared" si="34"/>
        <v>0.94444444444444442</v>
      </c>
      <c r="G97">
        <f t="shared" si="24"/>
        <v>0.38461538461538464</v>
      </c>
      <c r="H97">
        <f t="shared" si="25"/>
        <v>0.97777777777777775</v>
      </c>
      <c r="I97">
        <f t="shared" si="26"/>
        <v>0.94444444444444442</v>
      </c>
      <c r="J97">
        <f t="shared" si="27"/>
        <v>0.94444444444444442</v>
      </c>
      <c r="K97">
        <f t="shared" si="28"/>
        <v>0.72222222222222221</v>
      </c>
      <c r="L97">
        <f t="shared" si="29"/>
        <v>0.55555555555555558</v>
      </c>
      <c r="M97">
        <f t="shared" si="30"/>
        <v>0.94444444444444442</v>
      </c>
      <c r="N97">
        <f t="shared" si="31"/>
        <v>0.55555555555555558</v>
      </c>
      <c r="O97">
        <f t="shared" si="35"/>
        <v>0.79179487179487185</v>
      </c>
      <c r="P97" t="str">
        <f t="shared" si="36"/>
        <v>{"Average":0.791794871794872,"EditSimilarity":0.944444444444444,"HammingSimilarity":0.944444444444444,"JaccardIndex":0.384615384615385,"JaroWinklerSimilarity":0.977777777777778,"LevenshteinSimilarity":0.944444444444444,"LongestCommonSubsequenceSimilarity":0.944444444444444,"LongestCommonSubstringSimilarity":0.722222222222222,"OverlapCoefficient":0.555555555555556,"RatcliffObershelpSimilarity":0.944444444444444,"SorensenDiceCoefficient":0.555555555555556,"Source":"STATE_LOSS_DATE_08","Target":"STATZ_LOSS_DATE_08"},</v>
      </c>
    </row>
    <row r="98" spans="1:16" x14ac:dyDescent="0.25">
      <c r="A98" t="s">
        <v>1</v>
      </c>
      <c r="B98" t="s">
        <v>29</v>
      </c>
      <c r="C98" t="b">
        <f t="shared" ref="C98:C116" si="37">EXACT(A98,B98)</f>
        <v>0</v>
      </c>
      <c r="D98">
        <f t="shared" ref="D98:D116" si="38">LEN(A98)</f>
        <v>11</v>
      </c>
      <c r="E98">
        <f t="shared" si="23"/>
        <v>0.90909090909090906</v>
      </c>
      <c r="F98">
        <f t="shared" si="34"/>
        <v>0.90909090909090906</v>
      </c>
      <c r="G98">
        <f t="shared" si="24"/>
        <v>0.46666666666666667</v>
      </c>
      <c r="H98">
        <f t="shared" si="25"/>
        <v>0.96363636363636362</v>
      </c>
      <c r="I98">
        <f t="shared" si="26"/>
        <v>0.90909090909090906</v>
      </c>
      <c r="J98">
        <f t="shared" si="27"/>
        <v>0.90909090909090906</v>
      </c>
      <c r="K98">
        <f t="shared" si="28"/>
        <v>0.54545454545454541</v>
      </c>
      <c r="L98">
        <f t="shared" si="29"/>
        <v>0.63636363636363635</v>
      </c>
      <c r="M98">
        <f t="shared" si="30"/>
        <v>0.90909090909090906</v>
      </c>
      <c r="N98">
        <f t="shared" si="31"/>
        <v>0.63636363636363635</v>
      </c>
      <c r="O98">
        <f t="shared" si="35"/>
        <v>0.77939393939393942</v>
      </c>
      <c r="P98" t="str">
        <f t="shared" si="36"/>
        <v>{"Average":0.779393939393939,"EditSimilarity":0.909090909090909,"HammingSimilarity":0.909090909090909,"JaccardIndex":0.466666666666667,"JaroWinklerSimilarity":0.963636363636364,"LevenshteinSimilarity":0.909090909090909,"LongestCommonSubsequenceSimilarity":0.909090909090909,"LongestCommonSubstringSimilarity":0.545454545454545,"OverlapCoefficient":0.636363636363636,"RatcliffObershelpSimilarity":0.909090909090909,"SorensenDiceCoefficient":0.636363636363636,"Source":"STREET_NAME","Target":"STREET NAME"},</v>
      </c>
    </row>
    <row r="99" spans="1:16" x14ac:dyDescent="0.25">
      <c r="A99" t="s">
        <v>69</v>
      </c>
      <c r="B99" t="s">
        <v>68</v>
      </c>
      <c r="C99" t="b">
        <f t="shared" si="37"/>
        <v>0</v>
      </c>
      <c r="D99">
        <f t="shared" si="38"/>
        <v>21</v>
      </c>
      <c r="E99">
        <f t="shared" si="23"/>
        <v>0.95238095238095233</v>
      </c>
      <c r="F99">
        <f t="shared" si="34"/>
        <v>0.95238095238095233</v>
      </c>
      <c r="G99">
        <f t="shared" si="24"/>
        <v>0.61538461538461542</v>
      </c>
      <c r="H99">
        <f t="shared" si="25"/>
        <v>0.98095238095238091</v>
      </c>
      <c r="I99">
        <f t="shared" si="26"/>
        <v>0.95238095238095233</v>
      </c>
      <c r="J99">
        <f t="shared" si="27"/>
        <v>0.95238095238095233</v>
      </c>
      <c r="K99">
        <f t="shared" si="28"/>
        <v>0.52380952380952384</v>
      </c>
      <c r="L99">
        <f t="shared" si="29"/>
        <v>0.76190476190476186</v>
      </c>
      <c r="M99">
        <f t="shared" si="30"/>
        <v>0.95238095238095233</v>
      </c>
      <c r="N99">
        <f t="shared" si="31"/>
        <v>0.76190476190476186</v>
      </c>
      <c r="O99">
        <f t="shared" si="35"/>
        <v>0.84058608058608064</v>
      </c>
      <c r="P99" t="str">
        <f t="shared" si="36"/>
        <v>{"Average":0.840586080586081,"EditSimilarity":0.952380952380952,"HammingSimilarity":0.952380952380952,"JaccardIndex":0.615384615384615,"JaroWinklerSimilarity":0.980952380952381,"LevenshteinSimilarity":0.952380952380952,"LongestCommonSubsequenceSimilarity":0.952380952380952,"LongestCommonSubstringSimilarity":0.523809523809524,"OverlapCoefficient":0.761904761904762,"RatcliffObershelpSimilarity":0.952380952380952,"SorensenDiceCoefficient":0.761904761904762,"Source":"TABLE_711_DESCRIPTION","Target":"TABLE_711_DFSCRIPTION"},</v>
      </c>
    </row>
    <row r="100" spans="1:16" x14ac:dyDescent="0.25">
      <c r="A100" t="s">
        <v>93</v>
      </c>
      <c r="B100" t="s">
        <v>93</v>
      </c>
      <c r="C100" t="b">
        <f t="shared" si="37"/>
        <v>1</v>
      </c>
      <c r="D100">
        <f t="shared" si="38"/>
        <v>25</v>
      </c>
      <c r="E100">
        <f t="shared" si="23"/>
        <v>1</v>
      </c>
      <c r="F100">
        <f t="shared" si="34"/>
        <v>1</v>
      </c>
      <c r="G100">
        <f t="shared" si="24"/>
        <v>1</v>
      </c>
      <c r="H100">
        <f t="shared" si="25"/>
        <v>1</v>
      </c>
      <c r="I100">
        <f t="shared" si="26"/>
        <v>1</v>
      </c>
      <c r="J100">
        <f t="shared" si="27"/>
        <v>1</v>
      </c>
      <c r="K100">
        <f t="shared" si="28"/>
        <v>1</v>
      </c>
      <c r="L100">
        <f t="shared" si="29"/>
        <v>1</v>
      </c>
      <c r="M100">
        <f t="shared" si="30"/>
        <v>1</v>
      </c>
      <c r="N100">
        <f t="shared" si="31"/>
        <v>1</v>
      </c>
      <c r="O100">
        <f t="shared" si="35"/>
        <v>1</v>
      </c>
      <c r="P100" t="str">
        <f t="shared" si="36"/>
        <v>{"Average":1,"EditSimilarity":1,"HammingSimilarity":1,"JaccardIndex":1,"JaroWinklerSimilarity":1,"LevenshteinSimilarity":1,"LongestCommonSubsequenceSimilarity":1,"LongestCommonSubstringSimilarity":1,"OverlapCoefficient":1,"RatcliffObershelpSimilarity":1,"SorensenDiceCoefficient":1,"Source":"times_delinquent_over_120","Target":"times_delinquent_over_120"},</v>
      </c>
    </row>
    <row r="101" spans="1:16" x14ac:dyDescent="0.25">
      <c r="A101" t="s">
        <v>7</v>
      </c>
      <c r="B101" t="s">
        <v>6</v>
      </c>
      <c r="C101" t="b">
        <f t="shared" si="37"/>
        <v>0</v>
      </c>
      <c r="D101">
        <f t="shared" si="38"/>
        <v>4</v>
      </c>
      <c r="E101">
        <f t="shared" si="23"/>
        <v>0.75</v>
      </c>
      <c r="F101">
        <f t="shared" si="34"/>
        <v>0.75</v>
      </c>
      <c r="G101">
        <f t="shared" si="24"/>
        <v>0.6</v>
      </c>
      <c r="H101">
        <f t="shared" si="25"/>
        <v>0.8833333333333333</v>
      </c>
      <c r="I101">
        <f t="shared" si="26"/>
        <v>0.75</v>
      </c>
      <c r="J101">
        <f t="shared" si="27"/>
        <v>0.75</v>
      </c>
      <c r="K101">
        <f t="shared" si="28"/>
        <v>0.75</v>
      </c>
      <c r="L101">
        <f t="shared" si="29"/>
        <v>0.75</v>
      </c>
      <c r="M101">
        <f t="shared" si="30"/>
        <v>0.75</v>
      </c>
      <c r="N101">
        <f t="shared" si="31"/>
        <v>0.75</v>
      </c>
      <c r="O101">
        <f t="shared" si="35"/>
        <v>0.74833333333333329</v>
      </c>
      <c r="P101" t="str">
        <f t="shared" si="36"/>
        <v>{"Average":0.748333333333333,"EditSimilarity":0.75,"HammingSimilarity":0.75,"JaccardIndex":0.6,"JaroWinklerSimilarity":0.883333333333333,"LevenshteinSimilarity":0.75,"LongestCommonSubsequenceSimilarity":0.75,"LongestCommonSubstringSimilarity":0.75,"OverlapCoefficient":0.75,"RatcliffObershelpSimilarity":0.75,"SorensenDiceCoefficient":0.75,"Source":"tin1","Target":"sin1"},</v>
      </c>
    </row>
    <row r="102" spans="1:16" x14ac:dyDescent="0.25">
      <c r="A102" t="s">
        <v>24</v>
      </c>
      <c r="B102" t="s">
        <v>23</v>
      </c>
      <c r="C102" t="b">
        <f t="shared" si="37"/>
        <v>0</v>
      </c>
      <c r="D102">
        <f t="shared" si="38"/>
        <v>9</v>
      </c>
      <c r="E102">
        <f t="shared" si="23"/>
        <v>0</v>
      </c>
      <c r="F102">
        <f t="shared" si="34"/>
        <v>0</v>
      </c>
      <c r="G102">
        <f t="shared" si="24"/>
        <v>0.66666666666666663</v>
      </c>
      <c r="H102">
        <f t="shared" si="25"/>
        <v>0.93939393939393945</v>
      </c>
      <c r="I102">
        <f t="shared" si="26"/>
        <v>0.81818181818181812</v>
      </c>
      <c r="J102">
        <f t="shared" si="27"/>
        <v>1</v>
      </c>
      <c r="K102">
        <f t="shared" si="28"/>
        <v>1</v>
      </c>
      <c r="L102">
        <f t="shared" si="29"/>
        <v>0.88888888888888884</v>
      </c>
      <c r="M102">
        <f t="shared" si="30"/>
        <v>0.9</v>
      </c>
      <c r="N102">
        <f t="shared" si="31"/>
        <v>0.8</v>
      </c>
      <c r="O102">
        <f t="shared" si="35"/>
        <v>0.70131313131313133</v>
      </c>
      <c r="P102" t="str">
        <f t="shared" si="36"/>
        <v>{"Average":0.701313131313131,"EditSimilarity":0,"HammingSimilarity":0,"JaccardIndex":0.666666666666667,"JaroWinklerSimilarity":0.939393939393939,"LevenshteinSimilarity":0.818181818181818,"LongestCommonSubsequenceSimilarity":1,"LongestCommonSubstringSimilarity":1,"OverlapCoefficient":0.888888888888889,"RatcliffObershelpSimilarity":0.9,"SorensenDiceCoefficient":0.8,"Source":"unal-rate","Target":""unal-rate""},</v>
      </c>
    </row>
    <row r="103" spans="1:16" x14ac:dyDescent="0.25">
      <c r="A103" t="s">
        <v>40</v>
      </c>
      <c r="B103" t="s">
        <v>40</v>
      </c>
      <c r="C103" t="b">
        <f t="shared" si="37"/>
        <v>1</v>
      </c>
      <c r="D103">
        <f t="shared" si="38"/>
        <v>16</v>
      </c>
      <c r="E103">
        <f t="shared" si="23"/>
        <v>1</v>
      </c>
      <c r="F103">
        <f t="shared" si="34"/>
        <v>1</v>
      </c>
      <c r="G103">
        <f t="shared" si="24"/>
        <v>1</v>
      </c>
      <c r="H103">
        <f t="shared" si="25"/>
        <v>1</v>
      </c>
      <c r="I103">
        <f t="shared" si="26"/>
        <v>1</v>
      </c>
      <c r="J103">
        <f t="shared" si="27"/>
        <v>1</v>
      </c>
      <c r="K103">
        <f t="shared" si="28"/>
        <v>1</v>
      </c>
      <c r="L103">
        <f t="shared" si="29"/>
        <v>1</v>
      </c>
      <c r="M103">
        <f t="shared" si="30"/>
        <v>1</v>
      </c>
      <c r="N103">
        <f t="shared" si="31"/>
        <v>1</v>
      </c>
      <c r="O103">
        <f t="shared" si="35"/>
        <v>1</v>
      </c>
      <c r="P103" t="str">
        <f t="shared" si="36"/>
        <v>{"Average":1,"EditSimilarity":1,"HammingSimilarity":1,"JaccardIndex":1,"JaroWinklerSimilarity":1,"LevenshteinSimilarity":1,"LongestCommonSubsequenceSimilarity":1,"LongestCommonSubstringSimilarity":1,"OverlapCoefficient":1,"RatcliffObershelpSimilarity":1,"SorensenDiceCoefficient":1,"Source":"underwriter_code","Target":"underwriter_code"},</v>
      </c>
    </row>
    <row r="104" spans="1:16" x14ac:dyDescent="0.25">
      <c r="A104" t="s">
        <v>34</v>
      </c>
      <c r="B104" t="s">
        <v>33</v>
      </c>
      <c r="C104" t="b">
        <f t="shared" si="37"/>
        <v>0</v>
      </c>
      <c r="D104">
        <f t="shared" si="38"/>
        <v>14</v>
      </c>
      <c r="E104">
        <f t="shared" si="23"/>
        <v>0.9285714285714286</v>
      </c>
      <c r="F104">
        <f t="shared" si="34"/>
        <v>0.9285714285714286</v>
      </c>
      <c r="G104">
        <f t="shared" si="24"/>
        <v>0.6470588235294118</v>
      </c>
      <c r="H104">
        <f t="shared" si="25"/>
        <v>0.97142857142857142</v>
      </c>
      <c r="I104">
        <f t="shared" si="26"/>
        <v>0.9285714285714286</v>
      </c>
      <c r="J104">
        <f t="shared" si="27"/>
        <v>0.9285714285714286</v>
      </c>
      <c r="K104">
        <f t="shared" si="28"/>
        <v>0.7142857142857143</v>
      </c>
      <c r="L104">
        <f t="shared" si="29"/>
        <v>0.7857142857142857</v>
      </c>
      <c r="M104">
        <f t="shared" si="30"/>
        <v>0.9285714285714286</v>
      </c>
      <c r="N104">
        <f t="shared" si="31"/>
        <v>0.7857142857142857</v>
      </c>
      <c r="O104">
        <f t="shared" si="35"/>
        <v>0.85470588235294132</v>
      </c>
      <c r="P104" t="str">
        <f t="shared" si="36"/>
        <v>{"Average":0.854705882352941,"EditSimilarity":0.928571428571429,"HammingSimilarity":0.928571428571429,"JaccardIndex":0.647058823529412,"JaroWinklerSimilarity":0.971428571428571,"LevenshteinSimilarity":0.928571428571429,"LongestCommonSubsequenceSimilarity":0.928571428571429,"LongestCommonSubstringSimilarity":0.714285714285714,"OverlapCoefficient":0.785714285714286,"RatcliffObershelpSimilarity":0.928571428571429,"SorensenDiceCoefficient":0.785714285714286,"Source":"User_Defined_4","Target":"User_Definad_4"},</v>
      </c>
    </row>
    <row r="105" spans="1:16" x14ac:dyDescent="0.25">
      <c r="A105" t="s">
        <v>102</v>
      </c>
      <c r="B105" t="s">
        <v>102</v>
      </c>
      <c r="C105" t="b">
        <f t="shared" si="37"/>
        <v>1</v>
      </c>
      <c r="D105">
        <f t="shared" si="38"/>
        <v>27</v>
      </c>
      <c r="E105">
        <f t="shared" si="23"/>
        <v>1</v>
      </c>
      <c r="F105">
        <f t="shared" si="34"/>
        <v>1</v>
      </c>
      <c r="G105">
        <f t="shared" si="24"/>
        <v>1</v>
      </c>
      <c r="H105">
        <f t="shared" si="25"/>
        <v>1</v>
      </c>
      <c r="I105">
        <f t="shared" si="26"/>
        <v>1</v>
      </c>
      <c r="J105">
        <f t="shared" si="27"/>
        <v>1</v>
      </c>
      <c r="K105">
        <f t="shared" si="28"/>
        <v>1</v>
      </c>
      <c r="L105">
        <f t="shared" si="29"/>
        <v>1</v>
      </c>
      <c r="M105">
        <f t="shared" si="30"/>
        <v>1</v>
      </c>
      <c r="N105">
        <f t="shared" si="31"/>
        <v>1</v>
      </c>
      <c r="O105">
        <f t="shared" si="35"/>
        <v>1</v>
      </c>
      <c r="P105" t="str">
        <f t="shared" si="36"/>
        <v>{"Average":1,"EditSimilarity":1,"HammingSimilarity":1,"JaccardIndex":1,"JaroWinklerSimilarity":1,"LevenshteinSimilarity":1,"LongestCommonSubsequenceSimilarity":1,"LongestCommonSubstringSimilarity":1,"OverlapCoefficient":1,"RatcliffObershelpSimilarity":1,"SorensenDiceCoefficient":1,"Source":"vehicle_insurance_losspayee","Target":"vehicle_insurance_losspayee"},</v>
      </c>
    </row>
    <row r="106" spans="1:16" x14ac:dyDescent="0.25">
      <c r="A106" t="s">
        <v>92</v>
      </c>
      <c r="B106" t="s">
        <v>92</v>
      </c>
      <c r="C106" t="b">
        <f t="shared" si="37"/>
        <v>1</v>
      </c>
      <c r="D106">
        <f t="shared" si="38"/>
        <v>25</v>
      </c>
      <c r="E106">
        <f t="shared" si="23"/>
        <v>1</v>
      </c>
      <c r="F106">
        <f t="shared" si="34"/>
        <v>1</v>
      </c>
      <c r="G106">
        <f t="shared" si="24"/>
        <v>1</v>
      </c>
      <c r="H106">
        <f t="shared" si="25"/>
        <v>1</v>
      </c>
      <c r="I106">
        <f t="shared" si="26"/>
        <v>1</v>
      </c>
      <c r="J106">
        <f t="shared" si="27"/>
        <v>1</v>
      </c>
      <c r="K106">
        <f t="shared" si="28"/>
        <v>1</v>
      </c>
      <c r="L106">
        <f t="shared" si="29"/>
        <v>1</v>
      </c>
      <c r="M106">
        <f t="shared" si="30"/>
        <v>1</v>
      </c>
      <c r="N106">
        <f t="shared" si="31"/>
        <v>1</v>
      </c>
      <c r="O106">
        <f t="shared" si="35"/>
        <v>1</v>
      </c>
      <c r="P106" t="str">
        <f t="shared" si="36"/>
        <v>{"Average":1,"EditSimilarity":1,"HammingSimilarity":1,"JaccardIndex":1,"JaroWinklerSimilarity":1,"LevenshteinSimilarity":1,"LongestCommonSubsequenceSimilarity":1,"LongestCommonSubstringSimilarity":1,"OverlapCoefficient":1,"RatcliffObershelpSimilarity":1,"SorensenDiceCoefficient":1,"Source":"WL5_ACCOUNT_PSEUDO_NUMBER","Target":"WL5_ACCOUNT_PSEUDO_NUMBER"},</v>
      </c>
    </row>
    <row r="107" spans="1:16" x14ac:dyDescent="0.25">
      <c r="A107" t="s">
        <v>106</v>
      </c>
      <c r="B107" t="s">
        <v>106</v>
      </c>
      <c r="C107" t="b">
        <f t="shared" si="37"/>
        <v>1</v>
      </c>
      <c r="D107">
        <f t="shared" si="38"/>
        <v>28</v>
      </c>
      <c r="E107">
        <f t="shared" si="23"/>
        <v>1</v>
      </c>
      <c r="F107">
        <f t="shared" si="34"/>
        <v>1</v>
      </c>
      <c r="G107">
        <f t="shared" si="24"/>
        <v>1</v>
      </c>
      <c r="H107">
        <f t="shared" si="25"/>
        <v>1</v>
      </c>
      <c r="I107">
        <f t="shared" si="26"/>
        <v>1</v>
      </c>
      <c r="J107">
        <f t="shared" si="27"/>
        <v>1</v>
      </c>
      <c r="K107">
        <f t="shared" si="28"/>
        <v>1</v>
      </c>
      <c r="L107">
        <f t="shared" si="29"/>
        <v>1</v>
      </c>
      <c r="M107">
        <f t="shared" si="30"/>
        <v>1</v>
      </c>
      <c r="N107">
        <f t="shared" si="31"/>
        <v>1</v>
      </c>
      <c r="O107">
        <f t="shared" si="35"/>
        <v>1</v>
      </c>
      <c r="P107" t="str">
        <f t="shared" si="36"/>
        <v>{"Average":1,"EditSimilarity":1,"HammingSimilarity":1,"JaccardIndex":1,"JaroWinklerSimilarity":1,"LevenshteinSimilarity":1,"LongestCommonSubsequenceSimilarity":1,"LongestCommonSubstringSimilarity":1,"OverlapCoefficient":1,"RatcliffObershelpSimilarity":1,"SorensenDiceCoefficient":1,"Source":"worksheet_field_Audited_CLTV","Target":"worksheet_field_Audited_CLTV"},</v>
      </c>
    </row>
    <row r="108" spans="1:16" x14ac:dyDescent="0.25">
      <c r="A108" t="s">
        <v>19</v>
      </c>
      <c r="B108" t="s">
        <v>18</v>
      </c>
      <c r="C108" t="b">
        <f t="shared" si="37"/>
        <v>0</v>
      </c>
      <c r="D108">
        <f t="shared" si="38"/>
        <v>8</v>
      </c>
      <c r="E108">
        <f t="shared" si="23"/>
        <v>0.875</v>
      </c>
      <c r="F108">
        <f t="shared" si="34"/>
        <v>0.875</v>
      </c>
      <c r="G108">
        <f t="shared" si="24"/>
        <v>0.45454545454545453</v>
      </c>
      <c r="H108">
        <f t="shared" si="25"/>
        <v>0.95</v>
      </c>
      <c r="I108">
        <f t="shared" si="26"/>
        <v>0.875</v>
      </c>
      <c r="J108">
        <f t="shared" si="27"/>
        <v>0.875</v>
      </c>
      <c r="K108">
        <f t="shared" si="28"/>
        <v>0.875</v>
      </c>
      <c r="L108">
        <f t="shared" si="29"/>
        <v>0.625</v>
      </c>
      <c r="M108">
        <f t="shared" si="30"/>
        <v>0.875</v>
      </c>
      <c r="N108">
        <f t="shared" si="31"/>
        <v>0.625</v>
      </c>
      <c r="O108">
        <f t="shared" si="35"/>
        <v>0.79045454545454541</v>
      </c>
      <c r="P108" t="str">
        <f t="shared" si="36"/>
        <v>{"Average":0.790454545454545,"EditSimilarity":0.875,"HammingSimilarity":0.875,"JaccardIndex":0.454545454545455,"JaroWinklerSimilarity":0.95,"LevenshteinSimilarity":0.875,"LongestCommonSubsequenceSimilarity":0.875,"LongestCommonSubstringSimilarity":0.875,"OverlapCoefficient":0.625,"RatcliffObershelpSimilarity":0.875,"SorensenDiceCoefficient":0.625,"Source":"x-div-dt","Target":"x-div-dy"},</v>
      </c>
    </row>
    <row r="109" spans="1:16" x14ac:dyDescent="0.25">
      <c r="A109" t="s">
        <v>182</v>
      </c>
      <c r="B109" t="s">
        <v>181</v>
      </c>
      <c r="C109" t="b">
        <f t="shared" si="37"/>
        <v>0</v>
      </c>
      <c r="D109">
        <f t="shared" si="38"/>
        <v>5</v>
      </c>
      <c r="E109">
        <f t="shared" si="23"/>
        <v>0.4</v>
      </c>
      <c r="F109">
        <f t="shared" si="34"/>
        <v>0.4</v>
      </c>
      <c r="G109">
        <f t="shared" si="24"/>
        <v>0.25</v>
      </c>
      <c r="H109">
        <f t="shared" si="25"/>
        <v>0.6</v>
      </c>
      <c r="I109">
        <f t="shared" si="26"/>
        <v>0.4</v>
      </c>
      <c r="J109">
        <f t="shared" si="27"/>
        <v>0.4</v>
      </c>
      <c r="K109">
        <f t="shared" si="28"/>
        <v>0.4</v>
      </c>
      <c r="L109">
        <f t="shared" si="29"/>
        <v>0.4</v>
      </c>
      <c r="M109">
        <f t="shared" si="30"/>
        <v>0.4</v>
      </c>
      <c r="N109">
        <f t="shared" si="31"/>
        <v>0.4</v>
      </c>
      <c r="O109">
        <f t="shared" si="35"/>
        <v>0.40499999999999997</v>
      </c>
      <c r="P109" t="str">
        <f t="shared" si="36"/>
        <v>{"Average":0.405,"EditSimilarity":0.4,"HammingSimilarity":0.4,"JaccardIndex":0.25,"JaroWinklerSimilarity":0.6,"LevenshteinSimilarity":0.4,"LongestCommonSubsequenceSimilarity":0.4,"LongestCommonSubstringSimilarity":0.4,"OverlapCoefficient":0.4,"RatcliffObershelpSimilarity":0.4,"SorensenDiceCoefficient":0.4,"Source":"yacht","Target":"night"},</v>
      </c>
    </row>
    <row r="110" spans="1:16" x14ac:dyDescent="0.25">
      <c r="A110" t="s">
        <v>75</v>
      </c>
      <c r="B110" t="s">
        <v>75</v>
      </c>
      <c r="C110" t="b">
        <f t="shared" si="37"/>
        <v>1</v>
      </c>
      <c r="D110">
        <f t="shared" si="38"/>
        <v>22</v>
      </c>
      <c r="E110">
        <f t="shared" si="23"/>
        <v>1</v>
      </c>
      <c r="F110">
        <f t="shared" si="34"/>
        <v>1</v>
      </c>
      <c r="G110">
        <f t="shared" si="24"/>
        <v>1</v>
      </c>
      <c r="H110">
        <f t="shared" si="25"/>
        <v>1</v>
      </c>
      <c r="I110">
        <f t="shared" si="26"/>
        <v>1</v>
      </c>
      <c r="J110">
        <f t="shared" si="27"/>
        <v>1</v>
      </c>
      <c r="K110">
        <f t="shared" si="28"/>
        <v>1</v>
      </c>
      <c r="L110">
        <f t="shared" si="29"/>
        <v>1</v>
      </c>
      <c r="M110">
        <f t="shared" si="30"/>
        <v>1</v>
      </c>
      <c r="N110">
        <f t="shared" si="31"/>
        <v>1</v>
      </c>
      <c r="O110">
        <f t="shared" si="35"/>
        <v>1</v>
      </c>
      <c r="P110" t="str">
        <f t="shared" si="36"/>
        <v>{"Average":1,"EditSimilarity":1,"HammingSimilarity":1,"JaccardIndex":1,"JaroWinklerSimilarity":1,"LevenshteinSimilarity":1,"LongestCommonSubsequenceSimilarity":1,"LongestCommonSubstringSimilarity":1,"OverlapCoefficient":1,"RatcliffObershelpSimilarity":1,"SorensenDiceCoefficient":1,"Source":"YTD_LATE_CHARGE_AMOUNT","Target":"YTD_LATE_CHARGE_AMOUNT"},</v>
      </c>
    </row>
    <row r="111" spans="1:16" x14ac:dyDescent="0.25">
      <c r="A111" t="s">
        <v>50</v>
      </c>
      <c r="B111" t="s">
        <v>50</v>
      </c>
      <c r="C111" t="b">
        <f t="shared" si="37"/>
        <v>1</v>
      </c>
      <c r="D111">
        <f t="shared" si="38"/>
        <v>18</v>
      </c>
      <c r="E111">
        <f t="shared" si="23"/>
        <v>1</v>
      </c>
      <c r="F111">
        <f t="shared" si="34"/>
        <v>1</v>
      </c>
      <c r="G111">
        <f t="shared" si="24"/>
        <v>1</v>
      </c>
      <c r="H111">
        <f t="shared" si="25"/>
        <v>1</v>
      </c>
      <c r="I111">
        <f t="shared" si="26"/>
        <v>1</v>
      </c>
      <c r="J111">
        <f t="shared" si="27"/>
        <v>1</v>
      </c>
      <c r="K111">
        <f t="shared" si="28"/>
        <v>1</v>
      </c>
      <c r="L111">
        <f t="shared" si="29"/>
        <v>1</v>
      </c>
      <c r="M111">
        <f t="shared" si="30"/>
        <v>1</v>
      </c>
      <c r="N111">
        <f t="shared" si="31"/>
        <v>1</v>
      </c>
      <c r="O111">
        <f t="shared" si="35"/>
        <v>1</v>
      </c>
      <c r="P111" t="str">
        <f t="shared" si="36"/>
        <v>{"Average":1,"EditSimilarity":1,"HammingSimilarity":1,"JaccardIndex":1,"JaroWinklerSimilarity":1,"LevenshteinSimilarity":1,"LongestCommonSubsequenceSimilarity":1,"LongestCommonSubstringSimilarity":1,"OverlapCoefficient":1,"RatcliffObershelpSimilarity":1,"SorensenDiceCoefficient":1,"Source":"ytd-fee-write-down","Target":"ytd-fee-write-down"},</v>
      </c>
    </row>
    <row r="112" spans="1:16" x14ac:dyDescent="0.25">
      <c r="A112" t="s">
        <v>22</v>
      </c>
      <c r="B112" t="s">
        <v>22</v>
      </c>
      <c r="C112" t="b">
        <f t="shared" si="37"/>
        <v>1</v>
      </c>
      <c r="D112">
        <f t="shared" si="38"/>
        <v>9</v>
      </c>
      <c r="E112">
        <f t="shared" si="23"/>
        <v>1</v>
      </c>
      <c r="F112">
        <f t="shared" si="34"/>
        <v>1</v>
      </c>
      <c r="G112">
        <f t="shared" si="24"/>
        <v>1</v>
      </c>
      <c r="H112">
        <f t="shared" si="25"/>
        <v>1</v>
      </c>
      <c r="I112">
        <f t="shared" si="26"/>
        <v>1</v>
      </c>
      <c r="J112">
        <f t="shared" si="27"/>
        <v>1</v>
      </c>
      <c r="K112">
        <f t="shared" si="28"/>
        <v>1</v>
      </c>
      <c r="L112">
        <f t="shared" si="29"/>
        <v>1</v>
      </c>
      <c r="M112">
        <f t="shared" si="30"/>
        <v>1</v>
      </c>
      <c r="N112">
        <f t="shared" si="31"/>
        <v>1</v>
      </c>
      <c r="O112">
        <f t="shared" si="35"/>
        <v>1</v>
      </c>
      <c r="P112" t="str">
        <f t="shared" si="36"/>
        <v>{"Average":1,"EditSimilarity":1,"HammingSimilarity":1,"JaccardIndex":1,"JaroWinklerSimilarity":1,"LevenshteinSimilarity":1,"LongestCommonSubsequenceSimilarity":1,"LongestCommonSubstringSimilarity":1,"OverlapCoefficient":1,"RatcliffObershelpSimilarity":1,"SorensenDiceCoefficient":1,"Source":"zero-type","Target":"zero-type"},</v>
      </c>
    </row>
    <row r="113" spans="1:16" x14ac:dyDescent="0.25">
      <c r="A113" t="s">
        <v>4</v>
      </c>
      <c r="B113" t="s">
        <v>3</v>
      </c>
      <c r="C113" t="b">
        <f t="shared" si="37"/>
        <v>0</v>
      </c>
      <c r="D113">
        <f t="shared" si="38"/>
        <v>3</v>
      </c>
      <c r="E113">
        <f t="shared" si="23"/>
        <v>0.66666666666666674</v>
      </c>
      <c r="F113">
        <f t="shared" si="34"/>
        <v>0.66666666666666663</v>
      </c>
      <c r="G113">
        <f t="shared" si="24"/>
        <v>0.5</v>
      </c>
      <c r="H113">
        <f t="shared" si="25"/>
        <v>0.82222222222222219</v>
      </c>
      <c r="I113">
        <f t="shared" si="26"/>
        <v>0.66666666666666674</v>
      </c>
      <c r="J113">
        <f t="shared" si="27"/>
        <v>0.66666666666666663</v>
      </c>
      <c r="K113">
        <f t="shared" si="28"/>
        <v>0.66666666666666663</v>
      </c>
      <c r="L113">
        <f t="shared" si="29"/>
        <v>0.66666666666666663</v>
      </c>
      <c r="M113">
        <f t="shared" si="30"/>
        <v>0.66666666666666663</v>
      </c>
      <c r="N113">
        <f t="shared" si="31"/>
        <v>0.66666666666666663</v>
      </c>
      <c r="O113">
        <f t="shared" si="35"/>
        <v>0.66555555555555568</v>
      </c>
      <c r="P113" t="str">
        <f t="shared" si="36"/>
        <v>{"Average":0.665555555555556,"EditSimilarity":0.666666666666667,"HammingSimilarity":0.666666666666667,"JaccardIndex":0.5,"JaroWinklerSimilarity":0.822222222222222,"LevenshteinSimilarity":0.666666666666667,"LongestCommonSubsequenceSimilarity":0.666666666666667,"LongestCommonSubstringSimilarity":0.666666666666667,"OverlapCoefficient":0.666666666666667,"RatcliffObershelpSimilarity":0.666666666666667,"SorensenDiceCoefficient":0.666666666666667,"Source":"Zip","Target":"zip"},</v>
      </c>
    </row>
    <row r="114" spans="1:16" x14ac:dyDescent="0.25">
      <c r="A114" t="s">
        <v>35</v>
      </c>
      <c r="B114" t="s">
        <v>35</v>
      </c>
      <c r="C114" t="b">
        <f t="shared" si="37"/>
        <v>1</v>
      </c>
      <c r="D114">
        <f t="shared" si="38"/>
        <v>15</v>
      </c>
      <c r="E114">
        <f t="shared" si="23"/>
        <v>1</v>
      </c>
      <c r="F114">
        <f t="shared" si="34"/>
        <v>1</v>
      </c>
      <c r="G114">
        <f t="shared" si="24"/>
        <v>1</v>
      </c>
      <c r="H114">
        <f t="shared" si="25"/>
        <v>1</v>
      </c>
      <c r="I114">
        <f t="shared" si="26"/>
        <v>1</v>
      </c>
      <c r="J114">
        <f t="shared" si="27"/>
        <v>1</v>
      </c>
      <c r="K114">
        <f t="shared" si="28"/>
        <v>1</v>
      </c>
      <c r="L114">
        <f t="shared" si="29"/>
        <v>1</v>
      </c>
      <c r="M114">
        <f t="shared" si="30"/>
        <v>1</v>
      </c>
      <c r="N114">
        <f t="shared" si="31"/>
        <v>1</v>
      </c>
      <c r="O114">
        <f t="shared" si="35"/>
        <v>1</v>
      </c>
      <c r="P114" t="str">
        <f t="shared" si="36"/>
        <v>{"Average":1,"EditSimilarity":1,"HammingSimilarity":1,"JaccardIndex":1,"JaroWinklerSimilarity":1,"LevenshteinSimilarity":1,"LongestCommonSubsequenceSimilarity":1,"LongestCommonSubstringSimilarity":1,"OverlapCoefficient":1,"RatcliffObershelpSimilarity":1,"SorensenDiceCoefficient":1,"Source":"ZIP_CODE_SUFFIX","Target":"ZIP_CODE_SUFFIX"},</v>
      </c>
    </row>
    <row r="115" spans="1:16" x14ac:dyDescent="0.25">
      <c r="A115" t="s">
        <v>5</v>
      </c>
      <c r="B115" t="s">
        <v>5</v>
      </c>
      <c r="C115" t="b">
        <f t="shared" si="37"/>
        <v>1</v>
      </c>
      <c r="D115">
        <f t="shared" si="38"/>
        <v>4</v>
      </c>
      <c r="E115">
        <f t="shared" si="23"/>
        <v>1</v>
      </c>
      <c r="F115">
        <f t="shared" si="34"/>
        <v>1</v>
      </c>
      <c r="G115">
        <f t="shared" si="24"/>
        <v>1</v>
      </c>
      <c r="H115">
        <f t="shared" si="25"/>
        <v>1</v>
      </c>
      <c r="I115">
        <f t="shared" si="26"/>
        <v>1</v>
      </c>
      <c r="J115">
        <f t="shared" si="27"/>
        <v>1</v>
      </c>
      <c r="K115">
        <f t="shared" si="28"/>
        <v>1</v>
      </c>
      <c r="L115">
        <f t="shared" si="29"/>
        <v>1</v>
      </c>
      <c r="M115">
        <f t="shared" si="30"/>
        <v>1</v>
      </c>
      <c r="N115">
        <f t="shared" si="31"/>
        <v>1</v>
      </c>
      <c r="O115">
        <f t="shared" si="35"/>
        <v>1</v>
      </c>
      <c r="P115" t="str">
        <f t="shared" si="36"/>
        <v>{"Average":1,"EditSimilarity":1,"HammingSimilarity":1,"JaccardIndex":1,"JaroWinklerSimilarity":1,"LevenshteinSimilarity":1,"LongestCommonSubsequenceSimilarity":1,"LongestCommonSubstringSimilarity":1,"OverlapCoefficient":1,"RatcliffObershelpSimilarity":1,"SorensenDiceCoefficient":1,"Source":"ZONE","Target":"ZONE"},</v>
      </c>
    </row>
    <row r="116" spans="1:16" x14ac:dyDescent="0.25">
      <c r="B116" t="s">
        <v>159</v>
      </c>
      <c r="C116" t="b">
        <f t="shared" si="37"/>
        <v>0</v>
      </c>
      <c r="D116">
        <f t="shared" si="38"/>
        <v>0</v>
      </c>
      <c r="E116">
        <f t="shared" si="23"/>
        <v>0</v>
      </c>
      <c r="F116">
        <f t="shared" si="34"/>
        <v>0</v>
      </c>
      <c r="G116">
        <f t="shared" si="24"/>
        <v>0</v>
      </c>
      <c r="H116">
        <f t="shared" si="25"/>
        <v>0</v>
      </c>
      <c r="I116">
        <f t="shared" si="26"/>
        <v>0</v>
      </c>
      <c r="J116">
        <f t="shared" si="27"/>
        <v>0</v>
      </c>
      <c r="K116">
        <f t="shared" si="28"/>
        <v>0</v>
      </c>
      <c r="L116">
        <f t="shared" si="29"/>
        <v>0</v>
      </c>
      <c r="M116">
        <f t="shared" si="30"/>
        <v>0</v>
      </c>
      <c r="N116">
        <f t="shared" si="31"/>
        <v>0</v>
      </c>
      <c r="O116">
        <f t="shared" si="35"/>
        <v>0</v>
      </c>
      <c r="P116" t="str">
        <f t="shared" si="36"/>
        <v>{"Average":0,"EditSimilarity":0,"HammingSimilarity":0,"JaccardIndex":0,"JaroWinklerSimilarity":0,"LevenshteinSimilarity":0,"LongestCommonSubsequenceSimilarity":0,"LongestCommonSubstringSimilarity":0,"OverlapCoefficient":0,"RatcliffObershelpSimilarity":0,"SorensenDiceCoefficient":0,"Source":"","Target":"toner"},</v>
      </c>
    </row>
  </sheetData>
  <sortState caseSensitive="1" ref="A2:N119">
    <sortCondition ref="A2:A119"/>
    <sortCondition ref="B2:B119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 Data</vt:lpstr>
    </vt:vector>
  </TitlesOfParts>
  <Company>Texas Capital Bank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Rivas, Hector</dc:creator>
  <cp:lastModifiedBy>Rivas, Hector</cp:lastModifiedBy>
  <dcterms:created xsi:type="dcterms:W3CDTF">2018-12-27T16:07:04Z</dcterms:created>
  <dcterms:modified xsi:type="dcterms:W3CDTF">2019-01-09T18:54:06Z</dcterms:modified>
</cp:coreProperties>
</file>